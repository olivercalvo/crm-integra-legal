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tis\Box\02. INTEGRA - LEGAL\01. ADMINISTRATIVO\09. EXPEDIENTES DESPACHO\Listado de expedientes y casos\"/>
    </mc:Choice>
  </mc:AlternateContent>
  <xr:revisionPtr revIDLastSave="0" documentId="13_ncr:1_{9D4D9904-2D47-4A05-A5BD-7F90AE913F3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GISTRO MAESTRO" sheetId="1" r:id="rId1"/>
    <sheet name="CLASIFICACIONES" sheetId="2" r:id="rId2"/>
    <sheet name="CLIENTES" sheetId="3" r:id="rId3"/>
  </sheets>
  <definedNames>
    <definedName name="_xlnm._FilterDatabase" localSheetId="0" hidden="1">'REGISTRO MAESTRO'!$A$4:$M$54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C1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C5" i="1"/>
  <c r="C6" i="1"/>
  <c r="C7" i="1"/>
  <c r="C8" i="1"/>
  <c r="C9" i="1"/>
  <c r="C10" i="1"/>
  <c r="C11" i="1"/>
  <c r="C13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50" i="1"/>
  <c r="C51" i="1"/>
  <c r="C52" i="1"/>
  <c r="C53" i="1"/>
  <c r="C54" i="1"/>
</calcChain>
</file>

<file path=xl/sharedStrings.xml><?xml version="1.0" encoding="utf-8"?>
<sst xmlns="http://schemas.openxmlformats.org/spreadsheetml/2006/main" count="433" uniqueCount="243">
  <si>
    <t>REGISTRO MAESTRO DE EXPEDIENTES FÍSICOS — INTEGRA LEGAL</t>
  </si>
  <si>
    <t>Sistema de control y seguimiento de expedientes por clasificación</t>
  </si>
  <si>
    <t>N° EXP.</t>
  </si>
  <si>
    <t>N° CLIENTE</t>
  </si>
  <si>
    <t>CLIENTE</t>
  </si>
  <si>
    <t>CLASIFICACIÓN</t>
  </si>
  <si>
    <t>CÓDIGO EXP.</t>
  </si>
  <si>
    <t>DESCRIPCIÓN DEL ASUNTO</t>
  </si>
  <si>
    <t>RESPONSABLE</t>
  </si>
  <si>
    <t>FECHA APERTURA</t>
  </si>
  <si>
    <t>ESTADO</t>
  </si>
  <si>
    <t>UBICACIÓN FÍSICA</t>
  </si>
  <si>
    <t>OBSERVACIONES</t>
  </si>
  <si>
    <t>ARCHIVO DIGITAL</t>
  </si>
  <si>
    <t>COLOR</t>
  </si>
  <si>
    <t>CLI-001</t>
  </si>
  <si>
    <t>JUMBO CAPITAL, S.A.</t>
  </si>
  <si>
    <t>CORPORATIVO</t>
  </si>
  <si>
    <t>Acta de Reunión Extraordinaria de Accionistas</t>
  </si>
  <si>
    <t>Daveiva</t>
  </si>
  <si>
    <t>13/03/2026</t>
  </si>
  <si>
    <t>Activo</t>
  </si>
  <si>
    <t>Archivo - Sección Clientes</t>
  </si>
  <si>
    <t>Sí</t>
  </si>
  <si>
    <t>CATÁLOGO DE CLASIFICACIONES — INTEGRA LEGAL</t>
  </si>
  <si>
    <t>PREFIJO</t>
  </si>
  <si>
    <t>COLOR ASIGNADO</t>
  </si>
  <si>
    <t>DESCRIPCIÓN</t>
  </si>
  <si>
    <t>CORP</t>
  </si>
  <si>
    <t>Constitución de sociedades, actas, reformas, poderes, cesiones, disoluciones</t>
  </si>
  <si>
    <t>MIGRACIÓN</t>
  </si>
  <si>
    <t>MIG</t>
  </si>
  <si>
    <t>Permisos de trabajo, residencias, visas, trámites migratorios</t>
  </si>
  <si>
    <t>LABORAL</t>
  </si>
  <si>
    <t>LAB</t>
  </si>
  <si>
    <t>Contratos, terminaciones, demandas laborales, reglamentos internos</t>
  </si>
  <si>
    <t>PENAL</t>
  </si>
  <si>
    <t>PEN</t>
  </si>
  <si>
    <t>Denuncias, querellas, defensas penales, procesos penales</t>
  </si>
  <si>
    <t>CIVIL</t>
  </si>
  <si>
    <t>CIV</t>
  </si>
  <si>
    <t>Demandas civiles, procesos de cobro, sucesiones, contratos civiles</t>
  </si>
  <si>
    <t>ADMINISTRATIVO</t>
  </si>
  <si>
    <t>ADM</t>
  </si>
  <si>
    <t>Licencias, permisos, avisos de operación, trámites gubernamentales</t>
  </si>
  <si>
    <t>REGULATORIO</t>
  </si>
  <si>
    <t>REG</t>
  </si>
  <si>
    <t>Cumplimiento regulatorio, reportes AML/GAFI, auditorías, inspecciones</t>
  </si>
  <si>
    <t>SISTEMA DE NUMERACIÓN: [PREFIJO]-[NNN]  →  Ejemplo: CORP-001, MIG-002, LAB-003</t>
  </si>
  <si>
    <t>DIRECTORIO DE CLIENTES — INTEGRA LEGAL</t>
  </si>
  <si>
    <t>NOMBRE / RAZÓN SOCIAL</t>
  </si>
  <si>
    <t>RUC / CÉDULA</t>
  </si>
  <si>
    <t>TIPO</t>
  </si>
  <si>
    <t>CONTACTO PRINCIPAL</t>
  </si>
  <si>
    <t>TELÉFONO</t>
  </si>
  <si>
    <t>CORREO</t>
  </si>
  <si>
    <t>Corporativo</t>
  </si>
  <si>
    <t>MARIA GABRIELA LEGENDRE</t>
  </si>
  <si>
    <t>6671-3733</t>
  </si>
  <si>
    <t>cadasapma@cwpanama.net</t>
  </si>
  <si>
    <t>CLI-002</t>
  </si>
  <si>
    <t>CLI-003</t>
  </si>
  <si>
    <t>CLI-004</t>
  </si>
  <si>
    <t>CLI-005</t>
  </si>
  <si>
    <t>CLI-006</t>
  </si>
  <si>
    <t>CLI-007</t>
  </si>
  <si>
    <t>CLI-008</t>
  </si>
  <si>
    <t>CLI-009</t>
  </si>
  <si>
    <t>CLI-010</t>
  </si>
  <si>
    <t>CLI-011</t>
  </si>
  <si>
    <t>CLI-012</t>
  </si>
  <si>
    <t>CLI-013</t>
  </si>
  <si>
    <t>CLI-014</t>
  </si>
  <si>
    <t>CLI-015</t>
  </si>
  <si>
    <t>CLI-016</t>
  </si>
  <si>
    <t>CLI-017</t>
  </si>
  <si>
    <t>CLI-018</t>
  </si>
  <si>
    <t>CLI-019</t>
  </si>
  <si>
    <t>CLI-020</t>
  </si>
  <si>
    <t>CLI-021</t>
  </si>
  <si>
    <t>CLI-022</t>
  </si>
  <si>
    <t>CLI-023</t>
  </si>
  <si>
    <t>CLI-024</t>
  </si>
  <si>
    <t>CLI-025</t>
  </si>
  <si>
    <t>CLI-026</t>
  </si>
  <si>
    <t>CLI-027</t>
  </si>
  <si>
    <t>CLI-028</t>
  </si>
  <si>
    <t>CLI-029</t>
  </si>
  <si>
    <t>CLI-030</t>
  </si>
  <si>
    <t>CLI-031</t>
  </si>
  <si>
    <t>CLI-032</t>
  </si>
  <si>
    <t>CLI-033</t>
  </si>
  <si>
    <t>CLI-034</t>
  </si>
  <si>
    <t>CLI-035</t>
  </si>
  <si>
    <t>CLI-036</t>
  </si>
  <si>
    <t>CLI-037</t>
  </si>
  <si>
    <t>CLI-038</t>
  </si>
  <si>
    <t>CLI-039</t>
  </si>
  <si>
    <t>CLI-040</t>
  </si>
  <si>
    <t>CLI-041</t>
  </si>
  <si>
    <t>CLI-042</t>
  </si>
  <si>
    <t>CLI-043</t>
  </si>
  <si>
    <t>CLI-044</t>
  </si>
  <si>
    <t>CLI-045</t>
  </si>
  <si>
    <t>CLI-046</t>
  </si>
  <si>
    <t>CLI-047</t>
  </si>
  <si>
    <t>CLI-048</t>
  </si>
  <si>
    <t>CLI-049</t>
  </si>
  <si>
    <t>CLI-050</t>
  </si>
  <si>
    <t xml:space="preserve">GUILLERMO ROTHPFLUG </t>
  </si>
  <si>
    <t>E-8-197302</t>
  </si>
  <si>
    <t>guillermo@veriongroup.com</t>
  </si>
  <si>
    <t>VG LOGISTICS, INC. - VERION PANAMÁ, S.A. - HIDROMEC</t>
  </si>
  <si>
    <t xml:space="preserve">Sociedad Anónima - VG LOGISTICS  </t>
  </si>
  <si>
    <t xml:space="preserve">Daveiva </t>
  </si>
  <si>
    <t xml:space="preserve">RODRIGO MARROQUIN </t>
  </si>
  <si>
    <t xml:space="preserve">Obtención de Licencia de Dispositivos Médicos </t>
  </si>
  <si>
    <t>Cerrado</t>
  </si>
  <si>
    <t>MINSA</t>
  </si>
  <si>
    <t xml:space="preserve">Regulatorio </t>
  </si>
  <si>
    <t xml:space="preserve">Heriberto Hidalgo </t>
  </si>
  <si>
    <t>(+55) 11964336047</t>
  </si>
  <si>
    <t xml:space="preserve"> (+51) 986635310</t>
  </si>
  <si>
    <t>heriberto.hidalgo@hermani.pe</t>
  </si>
  <si>
    <t xml:space="preserve">Sociedad Anónima -  VERION PANAMA, S. A </t>
  </si>
  <si>
    <t>Sociedad Anónima -  HIDROMEC, S. A</t>
  </si>
  <si>
    <t xml:space="preserve">ERIC REINALDO BATISTA DOMINGUEZ </t>
  </si>
  <si>
    <t>7-705-2229</t>
  </si>
  <si>
    <t xml:space="preserve">Corporativo </t>
  </si>
  <si>
    <t xml:space="preserve">Eric Batista </t>
  </si>
  <si>
    <t>6800-7929</t>
  </si>
  <si>
    <t>ebatista2107@gmail.com</t>
  </si>
  <si>
    <t xml:space="preserve">DOWNCOUNTRY BIKE CORP. - GRUPO MELER, S.A. - GLOBAL SPORT LATAM, INC. </t>
  </si>
  <si>
    <t xml:space="preserve">Sociedad DOWNCOUNTRY BIKE CORP. </t>
  </si>
  <si>
    <t>17/03/2026</t>
  </si>
  <si>
    <t>Sociedad GRUPO MELER, S.A.</t>
  </si>
  <si>
    <t xml:space="preserve">Sociedad GLOBAL SPORT LATAM, INC. </t>
  </si>
  <si>
    <t xml:space="preserve">MAIKOL FENG </t>
  </si>
  <si>
    <t xml:space="preserve">Maikol Feng </t>
  </si>
  <si>
    <t>6906-6647</t>
  </si>
  <si>
    <t xml:space="preserve">INMOBILIARIA FUNG, S.A. </t>
  </si>
  <si>
    <t xml:space="preserve">Sociedad INMOBILIARIA FUNG, S.A. </t>
  </si>
  <si>
    <t xml:space="preserve">Milena </t>
  </si>
  <si>
    <t xml:space="preserve">JONATHAN ISAAC MIZRACHI MADURO </t>
  </si>
  <si>
    <t>Jonathan Mizrachi</t>
  </si>
  <si>
    <t>6612-6526</t>
  </si>
  <si>
    <t>jmizrachi@procasapanama.com</t>
  </si>
  <si>
    <t>8-499-309</t>
  </si>
  <si>
    <t>PPA CONDADO, S.A.</t>
  </si>
  <si>
    <t xml:space="preserve">Sociedad - PPA CONDADO, S.A. </t>
  </si>
  <si>
    <t>20/3/2026</t>
  </si>
  <si>
    <t>En trámite</t>
  </si>
  <si>
    <t>6-708-1415</t>
  </si>
  <si>
    <t>LORENA LYA BERENGUER RÍOS</t>
  </si>
  <si>
    <t xml:space="preserve">FUNDACION NUEVAS CRIATURAS, COMERCIALIZADORA HIZO </t>
  </si>
  <si>
    <t xml:space="preserve">djuridicospanama@gmail.com </t>
  </si>
  <si>
    <t xml:space="preserve">Cambios varios </t>
  </si>
  <si>
    <t xml:space="preserve">KURT ARTHUR SÁENZ ALBRECHT </t>
  </si>
  <si>
    <t xml:space="preserve">JENYRE JIMENEZ </t>
  </si>
  <si>
    <t>6648-3707</t>
  </si>
  <si>
    <t xml:space="preserve">SAJIMO CORP. </t>
  </si>
  <si>
    <t>jenyrejimenezparra@gmail.com</t>
  </si>
  <si>
    <t xml:space="preserve">Sociedad SAJIMO CORP. </t>
  </si>
  <si>
    <t>Dave</t>
  </si>
  <si>
    <t>16/10/2026</t>
  </si>
  <si>
    <t xml:space="preserve">PERMISO SANITARIO CLINICA DENTAL </t>
  </si>
  <si>
    <t xml:space="preserve">Dave </t>
  </si>
  <si>
    <t xml:space="preserve">DIMEDISA, S.A. </t>
  </si>
  <si>
    <t xml:space="preserve">Linda Miranda </t>
  </si>
  <si>
    <t>regente.calidad@dimedisa.com</t>
  </si>
  <si>
    <t xml:space="preserve">Temas Regulatorios </t>
  </si>
  <si>
    <t xml:space="preserve">LICENCIA DE FABRICANTE - FYD - CERTIFICACIÓN DE BUENAS PRACTICAS DE MANUFACTURA </t>
  </si>
  <si>
    <t xml:space="preserve">ANALIDA ARANGO FIDANQUE </t>
  </si>
  <si>
    <t xml:space="preserve">ALISTANLUCC FOUNDATION </t>
  </si>
  <si>
    <t xml:space="preserve">LUIS ANTONIO ZELAYA </t>
  </si>
  <si>
    <t xml:space="preserve">A &amp; Z GOLDEN, S.A. </t>
  </si>
  <si>
    <t xml:space="preserve">Analida Arango </t>
  </si>
  <si>
    <t>6676-8402</t>
  </si>
  <si>
    <t xml:space="preserve">Luis Antonio Zelaya </t>
  </si>
  <si>
    <t>6618-7555</t>
  </si>
  <si>
    <t xml:space="preserve">analidaarango@gmail.com </t>
  </si>
  <si>
    <t>lzelaya@productividadpersonal.org</t>
  </si>
  <si>
    <t xml:space="preserve">Fundacion de interés privado </t>
  </si>
  <si>
    <t xml:space="preserve">Sociedad Anónima </t>
  </si>
  <si>
    <t xml:space="preserve">Daniel Alvarado </t>
  </si>
  <si>
    <t>DANIEL ALVARADO</t>
  </si>
  <si>
    <t xml:space="preserve">ALCON TECHNOLOGY SERVICES, S. de R.L. </t>
  </si>
  <si>
    <t xml:space="preserve">MADELENE MERCADO </t>
  </si>
  <si>
    <t xml:space="preserve">AGENTE CORREDOR DE ADUANAS, S.A. </t>
  </si>
  <si>
    <t xml:space="preserve">ANGEL RICARDO MARTINEZ BENOIT </t>
  </si>
  <si>
    <t>8-776-832</t>
  </si>
  <si>
    <t xml:space="preserve">Angel Ricardo Martinez </t>
  </si>
  <si>
    <t>Madelene Mercado</t>
  </si>
  <si>
    <t xml:space="preserve">FUNDACIÓN BARO FORO </t>
  </si>
  <si>
    <t xml:space="preserve">MARLENYS IVETH CHACÓN </t>
  </si>
  <si>
    <t>8-966-685</t>
  </si>
  <si>
    <t xml:space="preserve">CONSTRUCTORA CHACÓN, S.A. </t>
  </si>
  <si>
    <t xml:space="preserve">COMPAÑÍA TORDEHUMOS, S.A. </t>
  </si>
  <si>
    <t xml:space="preserve">YOUSSEF ALI JAAFAR HARB </t>
  </si>
  <si>
    <t>8-830-706</t>
  </si>
  <si>
    <t xml:space="preserve">CARAVAN, S.A. </t>
  </si>
  <si>
    <t>YOM TOB TOBI TAWACHI</t>
  </si>
  <si>
    <t>3-66-1092</t>
  </si>
  <si>
    <t xml:space="preserve">CATOKETE, S.A. </t>
  </si>
  <si>
    <t xml:space="preserve">NAHUEL GALEANO LERNER </t>
  </si>
  <si>
    <t xml:space="preserve">CLANDESTINO LAB, INC. </t>
  </si>
  <si>
    <t xml:space="preserve">SEBASTIAN CUNHA </t>
  </si>
  <si>
    <t>AAH646224</t>
  </si>
  <si>
    <t xml:space="preserve">Sebastian Cunha </t>
  </si>
  <si>
    <t xml:space="preserve">DAGDA GLOBAL, S.A. </t>
  </si>
  <si>
    <t xml:space="preserve">ETOMORONI, S.A. </t>
  </si>
  <si>
    <t xml:space="preserve">FRANCO MORALES FLINT </t>
  </si>
  <si>
    <t xml:space="preserve">INVERSIONES FRAJA, S.A. </t>
  </si>
  <si>
    <t xml:space="preserve">EASYCOMM, S.A. </t>
  </si>
  <si>
    <t xml:space="preserve">Mile </t>
  </si>
  <si>
    <t xml:space="preserve">FREDDY ARIAS </t>
  </si>
  <si>
    <t>N-20-2149</t>
  </si>
  <si>
    <t xml:space="preserve">Freddy Arias </t>
  </si>
  <si>
    <t xml:space="preserve">FUNDACIÓN HERMANOS ARIAS </t>
  </si>
  <si>
    <t xml:space="preserve">GRUPO HERMANOS ARIAS, S.A. </t>
  </si>
  <si>
    <t xml:space="preserve">MEI TOWER 9D, S.A. </t>
  </si>
  <si>
    <t xml:space="preserve">MEI TOWER 10D, S.A. </t>
  </si>
  <si>
    <t xml:space="preserve">MEI TOWER 12D, S.A. </t>
  </si>
  <si>
    <t xml:space="preserve">MEI TOWER 1B, S.A. </t>
  </si>
  <si>
    <t xml:space="preserve">MEI TOWER 1C, S.A. </t>
  </si>
  <si>
    <t xml:space="preserve">MEI TOWER 1D, S.A. </t>
  </si>
  <si>
    <t xml:space="preserve">MEI TOWER 2C, S.A. </t>
  </si>
  <si>
    <t xml:space="preserve">MEI TOWER 3D, S.A. </t>
  </si>
  <si>
    <t xml:space="preserve">MEI TOWER 3C, S.A. </t>
  </si>
  <si>
    <t xml:space="preserve">MEI TOWER 4B, S.A. </t>
  </si>
  <si>
    <t xml:space="preserve">MEI TOWER 4C, S.A. </t>
  </si>
  <si>
    <t xml:space="preserve">MEI TOWER 4D, S.A. </t>
  </si>
  <si>
    <t xml:space="preserve">MEI TOWER 6D, S.A. </t>
  </si>
  <si>
    <t xml:space="preserve">RAYMOND MIZRACHI </t>
  </si>
  <si>
    <t>8-730-613</t>
  </si>
  <si>
    <t xml:space="preserve">MEI TOWER 2B, S.A. </t>
  </si>
  <si>
    <t xml:space="preserve">CARLOS ENRIQUE PULIDO </t>
  </si>
  <si>
    <t>E-8-154270</t>
  </si>
  <si>
    <t xml:space="preserve">corporativo </t>
  </si>
  <si>
    <t>6780-3138</t>
  </si>
  <si>
    <t xml:space="preserve">Corporativo- comercial </t>
  </si>
  <si>
    <t>FUNDACIÓN C&amp;C SOLIDARIOS</t>
  </si>
  <si>
    <t xml:space="preserve">TWO CARLOS GROUP,S .A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</si>
</sst>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1F4E79"/>
      <name val="Arial"/>
      <charset val="1"/>
    </font>
    <font>
      <b/>
      <sz val="10"/>
      <color rgb="FF1F4E79"/>
      <name val="Arial"/>
      <charset val="1"/>
    </font>
    <font>
      <b/>
      <sz val="10"/>
      <color rgb="FF2E7D32"/>
      <name val="Arial"/>
      <charset val="1"/>
    </font>
    <font>
      <b/>
      <sz val="10"/>
      <color rgb="FFE65100"/>
      <name val="Arial"/>
      <charset val="1"/>
    </font>
    <font>
      <b/>
      <sz val="10"/>
      <color rgb="FFB71C1C"/>
      <name val="Arial"/>
      <charset val="1"/>
    </font>
    <font>
      <b/>
      <sz val="10"/>
      <color rgb="FF6A1B9A"/>
      <name val="Arial"/>
      <charset val="1"/>
    </font>
    <font>
      <b/>
      <sz val="10"/>
      <color rgb="FF455A64"/>
      <name val="Arial"/>
      <charset val="1"/>
    </font>
    <font>
      <b/>
      <sz val="10"/>
      <color rgb="FFF57F17"/>
      <name val="Arial"/>
      <charset val="1"/>
    </font>
    <font>
      <i/>
      <sz val="10"/>
      <color rgb="FF333333"/>
      <name val="Arial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Aptos Display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455A64"/>
      </patternFill>
    </fill>
    <fill>
      <patternFill patternType="solid">
        <fgColor rgb="FFD6E4F0"/>
        <bgColor rgb="FFCCFFFF"/>
      </patternFill>
    </fill>
    <fill>
      <patternFill patternType="solid">
        <fgColor rgb="FF2E7D32"/>
        <bgColor rgb="FF008000"/>
      </patternFill>
    </fill>
    <fill>
      <patternFill patternType="solid">
        <fgColor rgb="FFE65100"/>
        <bgColor rgb="FFF57F17"/>
      </patternFill>
    </fill>
    <fill>
      <patternFill patternType="solid">
        <fgColor rgb="FFB71C1C"/>
        <bgColor rgb="FF993366"/>
      </patternFill>
    </fill>
    <fill>
      <patternFill patternType="solid">
        <fgColor rgb="FF6A1B9A"/>
        <bgColor rgb="FF800080"/>
      </patternFill>
    </fill>
    <fill>
      <patternFill patternType="solid">
        <fgColor rgb="FF455A64"/>
        <bgColor rgb="FF666666"/>
      </patternFill>
    </fill>
    <fill>
      <patternFill patternType="solid">
        <fgColor rgb="FFF57F17"/>
        <bgColor rgb="FFFF808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4" fillId="0" borderId="1" xfId="0" applyFont="1" applyBorder="1"/>
    <xf numFmtId="0" fontId="14" fillId="0" borderId="1" xfId="1" applyBorder="1"/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/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0" xfId="0" applyFont="1"/>
  </cellXfs>
  <cellStyles count="2">
    <cellStyle name="Hipervínculo" xfId="1" builtinId="8"/>
    <cellStyle name="Normal" xfId="0" builtinId="0"/>
  </cellStyles>
  <dxfs count="14">
    <dxf>
      <fill>
        <patternFill patternType="solid">
          <fgColor indexed="64"/>
          <bgColor rgb="FFF57F17"/>
        </patternFill>
      </fill>
    </dxf>
    <dxf>
      <fill>
        <patternFill patternType="solid">
          <fgColor indexed="64"/>
          <bgColor rgb="FF455A64"/>
        </patternFill>
      </fill>
    </dxf>
    <dxf>
      <fill>
        <patternFill patternType="solid">
          <fgColor indexed="64"/>
          <bgColor rgb="FF6A1B9A"/>
        </patternFill>
      </fill>
    </dxf>
    <dxf>
      <fill>
        <patternFill patternType="solid">
          <fgColor indexed="64"/>
          <bgColor rgb="FFB71C1C"/>
        </patternFill>
      </fill>
    </dxf>
    <dxf>
      <fill>
        <patternFill patternType="solid">
          <fgColor indexed="64"/>
          <bgColor rgb="FFE65100"/>
        </patternFill>
      </fill>
    </dxf>
    <dxf>
      <fill>
        <patternFill patternType="solid">
          <fgColor indexed="64"/>
          <bgColor rgb="FF2E7D32"/>
        </patternFill>
      </fill>
    </dxf>
    <dxf>
      <fill>
        <patternFill patternType="solid">
          <fgColor indexed="64"/>
          <bgColor rgb="FF1F4E79"/>
        </patternFill>
      </fill>
    </dxf>
    <dxf>
      <font>
        <b/>
        <i val="0"/>
        <color rgb="FFFFFFFF"/>
      </font>
      <fill>
        <patternFill patternType="solid">
          <fgColor indexed="64"/>
          <bgColor rgb="FFF57F17"/>
        </patternFill>
      </fill>
    </dxf>
    <dxf>
      <font>
        <b/>
        <i val="0"/>
        <color rgb="FFFFFFFF"/>
      </font>
      <fill>
        <patternFill patternType="solid">
          <fgColor indexed="64"/>
          <bgColor rgb="FF455A64"/>
        </patternFill>
      </fill>
    </dxf>
    <dxf>
      <font>
        <b/>
        <i val="0"/>
        <color rgb="FFFFFFFF"/>
      </font>
      <fill>
        <patternFill patternType="solid">
          <fgColor indexed="64"/>
          <bgColor rgb="FF6A1B9A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E65100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1F4E7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0B0B0"/>
      <rgbColor rgb="FF455A64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7F17"/>
      <rgbColor rgb="FFE65100"/>
      <rgbColor rgb="FF666666"/>
      <rgbColor rgb="FF969696"/>
      <rgbColor rgb="FF003366"/>
      <rgbColor rgb="FF2E7D32"/>
      <rgbColor rgb="FF003300"/>
      <rgbColor rgb="FF333300"/>
      <rgbColor rgb="FFB71C1C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7F665A-3CF7-45A1-B72E-B258B4810E6C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nalidaarango@gmail.com%20" TargetMode="External"/><Relationship Id="rId3" Type="http://schemas.openxmlformats.org/officeDocument/2006/relationships/hyperlink" Target="mailto:ebatista2107@gmail.com" TargetMode="External"/><Relationship Id="rId7" Type="http://schemas.openxmlformats.org/officeDocument/2006/relationships/hyperlink" Target="mailto:regente.calidad@dimedisa.com" TargetMode="External"/><Relationship Id="rId2" Type="http://schemas.openxmlformats.org/officeDocument/2006/relationships/hyperlink" Target="mailto:heriberto.hidalgo@hermani.pe" TargetMode="External"/><Relationship Id="rId1" Type="http://schemas.openxmlformats.org/officeDocument/2006/relationships/hyperlink" Target="mailto:guillermo@veriongroup.com" TargetMode="External"/><Relationship Id="rId6" Type="http://schemas.openxmlformats.org/officeDocument/2006/relationships/hyperlink" Target="mailto:jenyrejimenezparra@gmail.com" TargetMode="External"/><Relationship Id="rId5" Type="http://schemas.openxmlformats.org/officeDocument/2006/relationships/hyperlink" Target="mailto:djuridicospanama@gmail.com%20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jmizrachi@procasapanama.com" TargetMode="External"/><Relationship Id="rId9" Type="http://schemas.openxmlformats.org/officeDocument/2006/relationships/hyperlink" Target="mailto:lzelaya@productividadpersonal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zoomScaleNormal="100" workbookViewId="0">
      <pane ySplit="4" topLeftCell="A25" activePane="bottomLeft" state="frozen"/>
      <selection pane="bottomLeft" activeCell="F52" sqref="F52"/>
    </sheetView>
  </sheetViews>
  <sheetFormatPr baseColWidth="10" defaultColWidth="8.7109375" defaultRowHeight="15" customHeight="1" x14ac:dyDescent="0.25"/>
  <cols>
    <col min="1" max="1" width="10" customWidth="1"/>
    <col min="2" max="2" width="14" customWidth="1"/>
    <col min="3" max="3" width="47.5703125" customWidth="1"/>
    <col min="4" max="4" width="18" customWidth="1"/>
    <col min="5" max="5" width="16" customWidth="1"/>
    <col min="6" max="6" width="40" customWidth="1"/>
    <col min="7" max="8" width="16" customWidth="1"/>
    <col min="9" max="9" width="14" customWidth="1"/>
    <col min="10" max="10" width="22" customWidth="1"/>
    <col min="11" max="11" width="30" customWidth="1"/>
    <col min="12" max="12" width="16" customWidth="1"/>
    <col min="13" max="13" width="10" customWidth="1"/>
  </cols>
  <sheetData>
    <row r="1" spans="1:13" ht="30" customHeight="1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9.5" customHeight="1" x14ac:dyDescent="0.2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4" spans="1:13" ht="34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25.5" x14ac:dyDescent="0.25">
      <c r="A5" s="2">
        <v>1</v>
      </c>
      <c r="B5" s="2" t="s">
        <v>15</v>
      </c>
      <c r="C5" s="3" t="str">
        <f>IF(B5="","",_xlfn.XLOOKUP(B5,CLIENTES!$A$4:$A$53,CLIENTES!$B$4:$B$53,"NO ENCONTRADO"))</f>
        <v>JUMBO CAPITAL, S.A.</v>
      </c>
      <c r="D5" s="4" t="s">
        <v>17</v>
      </c>
      <c r="E5" s="2" t="str">
        <f>IF(D5="","",_xlfn.XLOOKUP(D5,CLASIFICACIONES!$A$4:$A$10,CLASIFICACIONES!$B$4:$B$10,"")&amp;"-"&amp;TEXT(1,"000"))</f>
        <v>CORP-001</v>
      </c>
      <c r="F5" s="3" t="s">
        <v>18</v>
      </c>
      <c r="G5" s="2" t="s">
        <v>19</v>
      </c>
      <c r="H5" s="2" t="s">
        <v>20</v>
      </c>
      <c r="I5" s="2" t="s">
        <v>21</v>
      </c>
      <c r="J5" s="3" t="s">
        <v>22</v>
      </c>
      <c r="K5" s="3"/>
      <c r="L5" s="2" t="s">
        <v>23</v>
      </c>
      <c r="M5" s="5"/>
    </row>
    <row r="6" spans="1:13" x14ac:dyDescent="0.25">
      <c r="A6" s="2">
        <v>2</v>
      </c>
      <c r="B6" s="2" t="s">
        <v>60</v>
      </c>
      <c r="C6" s="3" t="str">
        <f>IF(B6="","",_xlfn.XLOOKUP(B6,CLIENTES!$A$4:$A$53,CLIENTES!$B$4:$B$53,"NO ENCONTRADO"))</f>
        <v xml:space="preserve">GUILLERMO ROTHPFLUG </v>
      </c>
      <c r="D6" s="2" t="s">
        <v>17</v>
      </c>
      <c r="E6" s="2" t="str">
        <f>IF(D6="","",_xlfn.XLOOKUP(D6,CLASIFICACIONES!$A$4:$A$10,CLASIFICACIONES!$B$4:$B$10,"")&amp;"-"&amp;TEXT(COUNTIF($D$5:D5,D6)+1,"000"))</f>
        <v>CORP-002</v>
      </c>
      <c r="F6" s="3" t="s">
        <v>113</v>
      </c>
      <c r="G6" s="2" t="s">
        <v>114</v>
      </c>
      <c r="H6" s="2">
        <v>2021</v>
      </c>
      <c r="I6" s="2" t="s">
        <v>117</v>
      </c>
      <c r="J6" s="3"/>
      <c r="K6" s="3"/>
      <c r="L6" s="2"/>
      <c r="M6" s="3"/>
    </row>
    <row r="7" spans="1:13" x14ac:dyDescent="0.25">
      <c r="A7" s="2">
        <v>3</v>
      </c>
      <c r="B7" s="2" t="s">
        <v>60</v>
      </c>
      <c r="C7" s="3" t="str">
        <f>IF(B7="","",_xlfn.XLOOKUP(B7,CLIENTES!$A$4:$A$53,CLIENTES!$B$4:$B$53,"NO ENCONTRADO"))</f>
        <v xml:space="preserve">GUILLERMO ROTHPFLUG </v>
      </c>
      <c r="D7" s="2" t="s">
        <v>17</v>
      </c>
      <c r="E7" s="2" t="str">
        <f>IF(D7="","",_xlfn.XLOOKUP(D7,CLASIFICACIONES!$A$4:$A$10,CLASIFICACIONES!$B$4:$B$10,"")&amp;"-"&amp;TEXT(COUNTIF($D$5:D6,D7)+1,"000"))</f>
        <v>CORP-003</v>
      </c>
      <c r="F7" s="3" t="s">
        <v>124</v>
      </c>
      <c r="G7" s="2" t="s">
        <v>114</v>
      </c>
      <c r="H7" s="2">
        <v>2021</v>
      </c>
      <c r="I7" s="2" t="s">
        <v>117</v>
      </c>
      <c r="J7" s="3"/>
      <c r="K7" s="3"/>
      <c r="L7" s="2"/>
      <c r="M7" s="3"/>
    </row>
    <row r="8" spans="1:13" x14ac:dyDescent="0.25">
      <c r="A8" s="2">
        <v>4</v>
      </c>
      <c r="B8" s="2" t="s">
        <v>60</v>
      </c>
      <c r="C8" s="3" t="str">
        <f>IF(B8="","",_xlfn.XLOOKUP(B8,CLIENTES!$A$4:$A$53,CLIENTES!$B$4:$B$53,"NO ENCONTRADO"))</f>
        <v xml:space="preserve">GUILLERMO ROTHPFLUG </v>
      </c>
      <c r="D8" s="2" t="s">
        <v>17</v>
      </c>
      <c r="E8" s="2" t="str">
        <f>IF(D8="","",_xlfn.XLOOKUP(D8,CLASIFICACIONES!$A$4:$A$10,CLASIFICACIONES!$B$4:$B$10,"")&amp;"-"&amp;TEXT(COUNTIF($D$5:D7,D8)+1,"000"))</f>
        <v>CORP-004</v>
      </c>
      <c r="F8" s="3" t="s">
        <v>125</v>
      </c>
      <c r="G8" s="2" t="s">
        <v>19</v>
      </c>
      <c r="H8" s="2">
        <v>2022</v>
      </c>
      <c r="I8" s="2" t="s">
        <v>117</v>
      </c>
      <c r="J8" s="3"/>
      <c r="K8" s="3"/>
      <c r="L8" s="2"/>
      <c r="M8" s="3"/>
    </row>
    <row r="9" spans="1:13" ht="25.5" x14ac:dyDescent="0.25">
      <c r="A9" s="2">
        <v>5</v>
      </c>
      <c r="B9" s="2" t="s">
        <v>61</v>
      </c>
      <c r="C9" s="3" t="str">
        <f>IF(B9="","",_xlfn.XLOOKUP(B9,CLIENTES!$A$4:$A$53,CLIENTES!$B$4:$B$53,"NO ENCONTRADO"))</f>
        <v xml:space="preserve">RODRIGO MARROQUIN </v>
      </c>
      <c r="D9" s="2" t="s">
        <v>45</v>
      </c>
      <c r="E9" s="2" t="str">
        <f>IF(D9="","",_xlfn.XLOOKUP(D9,CLASIFICACIONES!$A$4:$A$10,CLASIFICACIONES!$B$4:$B$10,"")&amp;"-"&amp;TEXT(COUNTIF($D$5:D8,D9)+1,"000"))</f>
        <v>REG-001</v>
      </c>
      <c r="F9" s="3" t="s">
        <v>116</v>
      </c>
      <c r="G9" s="2" t="s">
        <v>114</v>
      </c>
      <c r="H9" s="22">
        <v>46024</v>
      </c>
      <c r="I9" s="2" t="s">
        <v>117</v>
      </c>
      <c r="J9" s="3" t="s">
        <v>118</v>
      </c>
      <c r="K9" s="3"/>
      <c r="L9" s="2"/>
      <c r="M9" s="3"/>
    </row>
    <row r="10" spans="1:13" x14ac:dyDescent="0.25">
      <c r="A10" s="2">
        <v>6</v>
      </c>
      <c r="B10" s="2" t="s">
        <v>62</v>
      </c>
      <c r="C10" s="3" t="str">
        <f>IF(B10="","",_xlfn.XLOOKUP(B10,CLIENTES!$A$4:$A$53,CLIENTES!$B$4:$B$53,"NO ENCONTRADO"))</f>
        <v xml:space="preserve">ERIC REINALDO BATISTA DOMINGUEZ </v>
      </c>
      <c r="D10" s="2" t="s">
        <v>17</v>
      </c>
      <c r="E10" s="2" t="str">
        <f>IF(D10="","",_xlfn.XLOOKUP(D10,CLASIFICACIONES!$A$4:$A$10,CLASIFICACIONES!$B$4:$B$10,"")&amp;"-"&amp;TEXT(COUNTIF($D$5:D9,D10)+1,"000"))</f>
        <v>CORP-005</v>
      </c>
      <c r="F10" s="3" t="s">
        <v>133</v>
      </c>
      <c r="G10" s="2" t="s">
        <v>114</v>
      </c>
      <c r="H10" s="2" t="s">
        <v>134</v>
      </c>
      <c r="I10" s="2" t="s">
        <v>21</v>
      </c>
      <c r="J10" s="3" t="s">
        <v>17</v>
      </c>
      <c r="K10" s="3"/>
      <c r="L10" s="2"/>
      <c r="M10" s="3"/>
    </row>
    <row r="11" spans="1:13" x14ac:dyDescent="0.25">
      <c r="A11" s="2">
        <v>7</v>
      </c>
      <c r="B11" s="2" t="s">
        <v>62</v>
      </c>
      <c r="C11" s="3" t="str">
        <f>IF(B11="","",_xlfn.XLOOKUP(B11,CLIENTES!$A$4:$A$53,CLIENTES!$B$4:$B$53,"NO ENCONTRADO"))</f>
        <v xml:space="preserve">ERIC REINALDO BATISTA DOMINGUEZ </v>
      </c>
      <c r="D11" s="2" t="s">
        <v>17</v>
      </c>
      <c r="E11" s="2" t="str">
        <f>IF(D11="","",_xlfn.XLOOKUP(D11,CLASIFICACIONES!$A$4:$A$10,CLASIFICACIONES!$B$4:$B$10,"")&amp;"-"&amp;TEXT(COUNTIF($D$5:D10,D11)+1,"000"))</f>
        <v>CORP-006</v>
      </c>
      <c r="F11" s="3" t="s">
        <v>135</v>
      </c>
      <c r="G11" s="2" t="s">
        <v>114</v>
      </c>
      <c r="H11" s="2" t="s">
        <v>134</v>
      </c>
      <c r="I11" s="2" t="s">
        <v>21</v>
      </c>
      <c r="J11" s="3" t="s">
        <v>17</v>
      </c>
      <c r="K11" s="3"/>
      <c r="L11" s="2"/>
      <c r="M11" s="3"/>
    </row>
    <row r="12" spans="1:13" x14ac:dyDescent="0.25">
      <c r="A12" s="2">
        <v>8</v>
      </c>
      <c r="B12" s="2" t="s">
        <v>62</v>
      </c>
      <c r="C12" s="3" t="str">
        <f>IF(B12="","",_xlfn.XLOOKUP(B12,CLIENTES!$A$4:$A$53,CLIENTES!$B$4:$B$53,"NO ENCONTRADO"))</f>
        <v xml:space="preserve">ERIC REINALDO BATISTA DOMINGUEZ </v>
      </c>
      <c r="D12" s="2" t="s">
        <v>17</v>
      </c>
      <c r="E12" s="2" t="str">
        <f>IF(D12="","",_xlfn.XLOOKUP(D12,CLASIFICACIONES!$A$4:$A$10,CLASIFICACIONES!$B$4:$B$10,"")&amp;"-"&amp;TEXT(COUNTIF($D$5:D11,D12)+1,"000"))</f>
        <v>CORP-007</v>
      </c>
      <c r="F12" s="3" t="s">
        <v>136</v>
      </c>
      <c r="G12" s="2" t="s">
        <v>114</v>
      </c>
      <c r="H12" s="2"/>
      <c r="I12" s="2"/>
      <c r="J12" s="3" t="s">
        <v>17</v>
      </c>
      <c r="K12" s="3"/>
      <c r="L12" s="2"/>
      <c r="M12" s="3"/>
    </row>
    <row r="13" spans="1:13" x14ac:dyDescent="0.25">
      <c r="A13" s="2">
        <v>9</v>
      </c>
      <c r="B13" s="2" t="s">
        <v>63</v>
      </c>
      <c r="C13" s="3" t="str">
        <f>IF(B13="","",_xlfn.XLOOKUP(B13,CLIENTES!$A$4:$A$53,CLIENTES!$B$4:$B$53,"NO ENCONTRADO"))</f>
        <v xml:space="preserve">MAIKOL FENG </v>
      </c>
      <c r="D13" s="2" t="s">
        <v>17</v>
      </c>
      <c r="E13" s="2" t="str">
        <f>IF(D13="","",_xlfn.XLOOKUP(D13,CLASIFICACIONES!$A$4:$A$10,CLASIFICACIONES!$B$4:$B$10,"")&amp;"-"&amp;TEXT(COUNTIF($D$5:D12,D13)+1,"000"))</f>
        <v>CORP-008</v>
      </c>
      <c r="F13" s="3" t="s">
        <v>141</v>
      </c>
      <c r="G13" s="2" t="s">
        <v>142</v>
      </c>
      <c r="H13" s="2" t="s">
        <v>134</v>
      </c>
      <c r="I13" s="2" t="s">
        <v>21</v>
      </c>
      <c r="J13" s="3" t="s">
        <v>17</v>
      </c>
      <c r="K13" s="3"/>
      <c r="L13" s="2"/>
      <c r="M13" s="3"/>
    </row>
    <row r="14" spans="1:13" x14ac:dyDescent="0.25">
      <c r="A14" s="2">
        <v>10</v>
      </c>
      <c r="B14" s="2" t="s">
        <v>64</v>
      </c>
      <c r="C14" s="3" t="str">
        <f>IF(B14="","",_xlfn.XLOOKUP(B14,CLIENTES!$A$4:$A$53,CLIENTES!$B$4:$B$53,"NO ENCONTRADO"))</f>
        <v xml:space="preserve">JONATHAN ISAAC MIZRACHI MADURO </v>
      </c>
      <c r="D14" s="2" t="s">
        <v>17</v>
      </c>
      <c r="E14" s="2" t="str">
        <f>IF(D14="","",_xlfn.XLOOKUP(D14,CLASIFICACIONES!$A$4:$A$10,CLASIFICACIONES!$B$4:$B$10,"")&amp;"-"&amp;TEXT(COUNTIF($D$5:D13,D14)+1,"000"))</f>
        <v>CORP-009</v>
      </c>
      <c r="F14" s="3" t="s">
        <v>149</v>
      </c>
      <c r="G14" s="2" t="s">
        <v>142</v>
      </c>
      <c r="H14" s="2" t="s">
        <v>150</v>
      </c>
      <c r="I14" s="2" t="s">
        <v>151</v>
      </c>
      <c r="J14" s="3" t="s">
        <v>17</v>
      </c>
      <c r="K14" s="3"/>
      <c r="L14" s="2"/>
      <c r="M14" s="3"/>
    </row>
    <row r="15" spans="1:13" x14ac:dyDescent="0.25">
      <c r="A15" s="2">
        <v>11</v>
      </c>
      <c r="B15" s="27" t="s">
        <v>65</v>
      </c>
      <c r="C15" s="3" t="str">
        <f>IF(B15="","",_xlfn.XLOOKUP(B15,CLIENTES!$A$4:$A$53,CLIENTES!$B$4:$B$53,"NO ENCONTRADO"))</f>
        <v>LORENA LYA BERENGUER RÍOS</v>
      </c>
      <c r="D15" s="2" t="s">
        <v>17</v>
      </c>
      <c r="E15" s="2" t="str">
        <f>IF(D15="","",_xlfn.XLOOKUP(D15,CLASIFICACIONES!$A$4:$A$10,CLASIFICACIONES!$B$4:$B$10,"")&amp;"-"&amp;TEXT(COUNTIF($D$5:D14,D15)+1,"000"))</f>
        <v>CORP-010</v>
      </c>
      <c r="F15" s="28" t="s">
        <v>156</v>
      </c>
      <c r="G15" s="27" t="s">
        <v>142</v>
      </c>
      <c r="H15" s="2">
        <v>2026</v>
      </c>
      <c r="I15" s="2" t="s">
        <v>151</v>
      </c>
      <c r="J15" s="28" t="s">
        <v>17</v>
      </c>
      <c r="K15" s="3"/>
      <c r="L15" s="2"/>
      <c r="M15" s="3"/>
    </row>
    <row r="16" spans="1:13" x14ac:dyDescent="0.25">
      <c r="A16" s="2">
        <v>12</v>
      </c>
      <c r="B16" s="27" t="s">
        <v>66</v>
      </c>
      <c r="C16" s="3" t="str">
        <f>IF(B16="","",_xlfn.XLOOKUP(B16,CLIENTES!$A$4:$A$53,CLIENTES!$B$4:$B$53,"NO ENCONTRADO"))</f>
        <v xml:space="preserve">KURT ARTHUR SÁENZ ALBRECHT </v>
      </c>
      <c r="D16" s="2" t="s">
        <v>17</v>
      </c>
      <c r="E16" s="2" t="str">
        <f>IF(D16="","",_xlfn.XLOOKUP(D16,CLASIFICACIONES!$A$4:$A$10,CLASIFICACIONES!$B$4:$B$10,"")&amp;"-"&amp;TEXT(COUNTIF($D$5:D15,D16)+1,"000"))</f>
        <v>CORP-011</v>
      </c>
      <c r="F16" s="28" t="s">
        <v>162</v>
      </c>
      <c r="G16" s="27" t="s">
        <v>163</v>
      </c>
      <c r="H16" s="27" t="s">
        <v>164</v>
      </c>
      <c r="I16" s="2" t="s">
        <v>21</v>
      </c>
      <c r="J16" s="28" t="s">
        <v>17</v>
      </c>
      <c r="K16" s="3"/>
      <c r="L16" s="2"/>
      <c r="M16" s="3"/>
    </row>
    <row r="17" spans="1:13" x14ac:dyDescent="0.25">
      <c r="A17" s="2">
        <v>13</v>
      </c>
      <c r="B17" s="27" t="s">
        <v>66</v>
      </c>
      <c r="C17" s="3" t="str">
        <f>IF(B17="","",_xlfn.XLOOKUP(B17,CLIENTES!$A$4:$A$53,CLIENTES!$B$4:$B$53,"NO ENCONTRADO"))</f>
        <v xml:space="preserve">KURT ARTHUR SÁENZ ALBRECHT </v>
      </c>
      <c r="D17" s="2" t="s">
        <v>45</v>
      </c>
      <c r="E17" s="2" t="str">
        <f>IF(D17="","",_xlfn.XLOOKUP(D17,CLASIFICACIONES!$A$4:$A$10,CLASIFICACIONES!$B$4:$B$10,"")&amp;"-"&amp;TEXT(COUNTIF($D$5:D16,D17)+1,"000"))</f>
        <v>REG-002</v>
      </c>
      <c r="F17" s="28" t="s">
        <v>165</v>
      </c>
      <c r="G17" s="27" t="s">
        <v>166</v>
      </c>
      <c r="H17" s="27" t="s">
        <v>150</v>
      </c>
      <c r="I17" s="2" t="s">
        <v>151</v>
      </c>
      <c r="J17" s="28" t="s">
        <v>45</v>
      </c>
      <c r="K17" s="3"/>
      <c r="L17" s="2"/>
      <c r="M17" s="3"/>
    </row>
    <row r="18" spans="1:13" ht="38.25" x14ac:dyDescent="0.25">
      <c r="A18" s="2">
        <v>14</v>
      </c>
      <c r="B18" s="2" t="s">
        <v>67</v>
      </c>
      <c r="C18" s="3" t="str">
        <f>IF(B18="","",_xlfn.XLOOKUP(B18,CLIENTES!$A$4:$A$53,CLIENTES!$B$4:$B$53,"NO ENCONTRADO"))</f>
        <v xml:space="preserve">DIMEDISA, S.A. </v>
      </c>
      <c r="D18" s="2" t="s">
        <v>45</v>
      </c>
      <c r="E18" s="2" t="str">
        <f>IF(D18="","",_xlfn.XLOOKUP(D18,CLASIFICACIONES!$A$4:$A$10,CLASIFICACIONES!$B$4:$B$10,"")&amp;"-"&amp;TEXT(COUNTIF($D$5:D17,D18)+1,"000"))</f>
        <v>REG-003</v>
      </c>
      <c r="F18" s="3" t="s">
        <v>171</v>
      </c>
      <c r="G18" s="2" t="s">
        <v>163</v>
      </c>
      <c r="H18" s="2"/>
      <c r="I18" s="2" t="s">
        <v>117</v>
      </c>
      <c r="J18" s="3" t="s">
        <v>45</v>
      </c>
      <c r="K18" s="3"/>
      <c r="L18" s="2"/>
      <c r="M18" s="3"/>
    </row>
    <row r="19" spans="1:13" x14ac:dyDescent="0.25">
      <c r="A19" s="2">
        <v>15</v>
      </c>
      <c r="B19" s="2" t="s">
        <v>68</v>
      </c>
      <c r="C19" s="3" t="str">
        <f>IF(B19="","",_xlfn.XLOOKUP(B19,CLIENTES!$A$4:$A$53,CLIENTES!$B$4:$B$53,"NO ENCONTRADO"))</f>
        <v xml:space="preserve">ANALIDA ARANGO FIDANQUE </v>
      </c>
      <c r="D19" s="2" t="s">
        <v>17</v>
      </c>
      <c r="E19" s="2" t="str">
        <f>IF(D19="","",_xlfn.XLOOKUP(D19,CLASIFICACIONES!$A$4:$A$10,CLASIFICACIONES!$B$4:$B$10,"")&amp;"-"&amp;TEXT(COUNTIF($D$5:D18,D19)+1,"000"))</f>
        <v>CORP-012</v>
      </c>
      <c r="F19" s="3" t="s">
        <v>173</v>
      </c>
      <c r="G19" s="2" t="s">
        <v>166</v>
      </c>
      <c r="H19" s="2">
        <v>2024</v>
      </c>
      <c r="I19" s="2" t="s">
        <v>21</v>
      </c>
      <c r="J19" s="3" t="s">
        <v>17</v>
      </c>
      <c r="K19" s="3"/>
      <c r="L19" s="2"/>
      <c r="M19" s="3"/>
    </row>
    <row r="20" spans="1:13" x14ac:dyDescent="0.25">
      <c r="A20" s="2">
        <v>16</v>
      </c>
      <c r="B20" s="2" t="s">
        <v>69</v>
      </c>
      <c r="C20" s="3" t="str">
        <f>IF(B20="","",_xlfn.XLOOKUP(B20,CLIENTES!$A$4:$A$53,CLIENTES!$B$4:$B$53,"NO ENCONTRADO"))</f>
        <v xml:space="preserve">LUIS ANTONIO ZELAYA </v>
      </c>
      <c r="D20" s="2" t="s">
        <v>17</v>
      </c>
      <c r="E20" s="2" t="str">
        <f>IF(D20="","",_xlfn.XLOOKUP(D20,CLASIFICACIONES!$A$4:$A$10,CLASIFICACIONES!$B$4:$B$10,"")&amp;"-"&amp;TEXT(COUNTIF($D$5:D19,D20)+1,"000"))</f>
        <v>CORP-013</v>
      </c>
      <c r="F20" s="3" t="s">
        <v>175</v>
      </c>
      <c r="G20" s="2" t="s">
        <v>166</v>
      </c>
      <c r="H20" s="2">
        <v>2024</v>
      </c>
      <c r="I20" s="2" t="s">
        <v>21</v>
      </c>
      <c r="J20" s="3" t="s">
        <v>17</v>
      </c>
      <c r="K20" s="3"/>
      <c r="L20" s="2"/>
      <c r="M20" s="3"/>
    </row>
    <row r="21" spans="1:13" ht="25.5" x14ac:dyDescent="0.25">
      <c r="A21" s="2">
        <v>17</v>
      </c>
      <c r="B21" s="2" t="s">
        <v>70</v>
      </c>
      <c r="C21" s="3" t="str">
        <f>IF(B21="","",_xlfn.XLOOKUP(B21,CLIENTES!$A$4:$A$53,CLIENTES!$B$4:$B$53,"NO ENCONTRADO"))</f>
        <v>DANIEL ALVARADO</v>
      </c>
      <c r="D21" s="2" t="s">
        <v>17</v>
      </c>
      <c r="E21" s="2" t="str">
        <f>IF(D21="","",_xlfn.XLOOKUP(D21,CLASIFICACIONES!$A$4:$A$10,CLASIFICACIONES!$B$4:$B$10,"")&amp;"-"&amp;TEXT(COUNTIF($D$5:D20,D21)+1,"000"))</f>
        <v>CORP-014</v>
      </c>
      <c r="F21" s="3" t="s">
        <v>186</v>
      </c>
      <c r="G21" s="2" t="s">
        <v>166</v>
      </c>
      <c r="H21" s="2">
        <v>2024</v>
      </c>
      <c r="I21" s="2" t="s">
        <v>21</v>
      </c>
      <c r="J21" s="3"/>
      <c r="K21" s="3"/>
      <c r="L21" s="2"/>
      <c r="M21" s="3"/>
    </row>
    <row r="22" spans="1:13" x14ac:dyDescent="0.25">
      <c r="A22" s="2">
        <v>18</v>
      </c>
      <c r="B22" s="2" t="s">
        <v>71</v>
      </c>
      <c r="C22" s="3" t="str">
        <f>IF(B22="","",_xlfn.XLOOKUP(B22,CLIENTES!$A$4:$A$53,CLIENTES!$B$4:$B$53,"NO ENCONTRADO"))</f>
        <v xml:space="preserve">MADELENE MERCADO </v>
      </c>
      <c r="D22" s="2" t="s">
        <v>17</v>
      </c>
      <c r="E22" s="2" t="str">
        <f>IF(D22="","",_xlfn.XLOOKUP(D22,CLASIFICACIONES!$A$4:$A$10,CLASIFICACIONES!$B$4:$B$10,"")&amp;"-"&amp;TEXT(COUNTIF($D$5:D21,D22)+1,"000"))</f>
        <v>CORP-015</v>
      </c>
      <c r="F22" s="3" t="s">
        <v>188</v>
      </c>
      <c r="G22" s="2" t="s">
        <v>166</v>
      </c>
      <c r="H22" s="2">
        <v>2024</v>
      </c>
      <c r="I22" s="2" t="s">
        <v>21</v>
      </c>
      <c r="J22" s="3"/>
      <c r="K22" s="3"/>
      <c r="L22" s="2"/>
      <c r="M22" s="3"/>
    </row>
    <row r="23" spans="1:13" x14ac:dyDescent="0.25">
      <c r="A23" s="2">
        <v>19</v>
      </c>
      <c r="B23" s="2" t="s">
        <v>72</v>
      </c>
      <c r="C23" s="3" t="str">
        <f>IF(B23="","",_xlfn.XLOOKUP(B23,CLIENTES!$A$4:$A$53,CLIENTES!$B$4:$B$53,"NO ENCONTRADO"))</f>
        <v xml:space="preserve">ANGEL RICARDO MARTINEZ BENOIT </v>
      </c>
      <c r="D23" s="2" t="s">
        <v>17</v>
      </c>
      <c r="E23" s="2" t="str">
        <f>IF(D23="","",_xlfn.XLOOKUP(D23,CLASIFICACIONES!$A$4:$A$10,CLASIFICACIONES!$B$4:$B$10,"")&amp;"-"&amp;TEXT(COUNTIF($D$5:D22,D23)+1,"000"))</f>
        <v>CORP-016</v>
      </c>
      <c r="F23" s="3" t="s">
        <v>193</v>
      </c>
      <c r="G23" s="2" t="s">
        <v>166</v>
      </c>
      <c r="H23" s="2">
        <v>2024</v>
      </c>
      <c r="I23" s="2" t="s">
        <v>21</v>
      </c>
      <c r="J23" s="3"/>
      <c r="K23" s="3"/>
      <c r="L23" s="2"/>
      <c r="M23" s="3"/>
    </row>
    <row r="24" spans="1:13" x14ac:dyDescent="0.25">
      <c r="A24" s="2">
        <v>20</v>
      </c>
      <c r="B24" s="2" t="s">
        <v>73</v>
      </c>
      <c r="C24" s="3" t="str">
        <f>IF(B24="","",_xlfn.XLOOKUP(B24,CLIENTES!$A$4:$A$53,CLIENTES!$B$4:$B$53,"NO ENCONTRADO"))</f>
        <v xml:space="preserve">MARLENYS IVETH CHACÓN </v>
      </c>
      <c r="D24" s="2" t="s">
        <v>17</v>
      </c>
      <c r="E24" s="2" t="str">
        <f>IF(D24="","",_xlfn.XLOOKUP(D24,CLASIFICACIONES!$A$4:$A$10,CLASIFICACIONES!$B$4:$B$10,"")&amp;"-"&amp;TEXT(COUNTIF($D$5:D23,D24)+1,"000"))</f>
        <v>CORP-017</v>
      </c>
      <c r="F24" s="3" t="s">
        <v>196</v>
      </c>
      <c r="G24" s="2" t="s">
        <v>166</v>
      </c>
      <c r="H24" s="2">
        <v>2024</v>
      </c>
      <c r="I24" s="2" t="s">
        <v>21</v>
      </c>
      <c r="J24" s="3"/>
      <c r="K24" s="3"/>
      <c r="L24" s="2"/>
      <c r="M24" s="3"/>
    </row>
    <row r="25" spans="1:13" x14ac:dyDescent="0.25">
      <c r="A25" s="2">
        <v>21</v>
      </c>
      <c r="B25" s="2" t="s">
        <v>72</v>
      </c>
      <c r="C25" s="3" t="str">
        <f>IF(B25="","",_xlfn.XLOOKUP(B25,CLIENTES!$A$4:$A$53,CLIENTES!$B$4:$B$53,"NO ENCONTRADO"))</f>
        <v xml:space="preserve">ANGEL RICARDO MARTINEZ BENOIT </v>
      </c>
      <c r="D25" s="2" t="s">
        <v>17</v>
      </c>
      <c r="E25" s="2" t="str">
        <f>IF(D25="","",_xlfn.XLOOKUP(D25,CLASIFICACIONES!$A$4:$A$10,CLASIFICACIONES!$B$4:$B$10,"")&amp;"-"&amp;TEXT(COUNTIF($D$5:D24,D25)+1,"000"))</f>
        <v>CORP-018</v>
      </c>
      <c r="F25" s="3" t="s">
        <v>197</v>
      </c>
      <c r="G25" s="2" t="s">
        <v>163</v>
      </c>
      <c r="H25" s="2">
        <v>2025</v>
      </c>
      <c r="I25" s="2" t="s">
        <v>21</v>
      </c>
      <c r="J25" s="3"/>
      <c r="K25" s="3"/>
      <c r="L25" s="2"/>
      <c r="M25" s="3"/>
    </row>
    <row r="26" spans="1:13" x14ac:dyDescent="0.25">
      <c r="A26" s="2">
        <v>22</v>
      </c>
      <c r="B26" s="2" t="s">
        <v>74</v>
      </c>
      <c r="C26" s="3" t="str">
        <f>IF(B26="","",_xlfn.XLOOKUP(B26,CLIENTES!$A$4:$A$53,CLIENTES!$B$4:$B$53,"NO ENCONTRADO"))</f>
        <v xml:space="preserve">YOUSSEF ALI JAAFAR HARB </v>
      </c>
      <c r="D26" s="2" t="s">
        <v>17</v>
      </c>
      <c r="E26" s="2" t="str">
        <f>IF(D26="","",_xlfn.XLOOKUP(D26,CLASIFICACIONES!$A$4:$A$10,CLASIFICACIONES!$B$4:$B$10,"")&amp;"-"&amp;TEXT(COUNTIF($D$5:D25,D26)+1,"000"))</f>
        <v>CORP-019</v>
      </c>
      <c r="F26" s="3" t="s">
        <v>200</v>
      </c>
      <c r="G26" s="2" t="s">
        <v>163</v>
      </c>
      <c r="H26" s="2">
        <v>2023</v>
      </c>
      <c r="I26" s="2" t="s">
        <v>21</v>
      </c>
      <c r="J26" s="3"/>
      <c r="K26" s="3"/>
      <c r="L26" s="2"/>
      <c r="M26" s="3"/>
    </row>
    <row r="27" spans="1:13" x14ac:dyDescent="0.25">
      <c r="A27" s="2">
        <v>23</v>
      </c>
      <c r="B27" s="2" t="s">
        <v>75</v>
      </c>
      <c r="C27" s="3" t="str">
        <f>IF(B27="","",_xlfn.XLOOKUP(B27,CLIENTES!$A$4:$A$53,CLIENTES!$B$4:$B$53,"NO ENCONTRADO"))</f>
        <v>YOM TOB TOBI TAWACHI</v>
      </c>
      <c r="D27" s="2" t="s">
        <v>17</v>
      </c>
      <c r="E27" s="2" t="str">
        <f>IF(D27="","",_xlfn.XLOOKUP(D27,CLASIFICACIONES!$A$4:$A$10,CLASIFICACIONES!$B$4:$B$10,"")&amp;"-"&amp;TEXT(COUNTIF($D$5:D26,D27)+1,"000"))</f>
        <v>CORP-020</v>
      </c>
      <c r="F27" s="3" t="s">
        <v>203</v>
      </c>
      <c r="G27" s="2" t="s">
        <v>166</v>
      </c>
      <c r="H27" s="2">
        <v>2024</v>
      </c>
      <c r="I27" s="2" t="s">
        <v>21</v>
      </c>
      <c r="J27" s="3"/>
      <c r="K27" s="3"/>
      <c r="L27" s="2"/>
      <c r="M27" s="3"/>
    </row>
    <row r="28" spans="1:13" x14ac:dyDescent="0.25">
      <c r="A28" s="2">
        <v>24</v>
      </c>
      <c r="B28" s="2" t="s">
        <v>76</v>
      </c>
      <c r="C28" s="3" t="str">
        <f>IF(B28="","",_xlfn.XLOOKUP(B28,CLIENTES!$A$4:$A$53,CLIENTES!$B$4:$B$53,"NO ENCONTRADO"))</f>
        <v xml:space="preserve">NAHUEL GALEANO LERNER </v>
      </c>
      <c r="D28" s="2" t="s">
        <v>17</v>
      </c>
      <c r="E28" s="2" t="str">
        <f>IF(D28="","",_xlfn.XLOOKUP(D28,CLASIFICACIONES!$A$4:$A$10,CLASIFICACIONES!$B$4:$B$10,"")&amp;"-"&amp;TEXT(COUNTIF($D$5:D27,D28)+1,"000"))</f>
        <v>CORP-021</v>
      </c>
      <c r="F28" s="3" t="s">
        <v>205</v>
      </c>
      <c r="G28" s="2" t="s">
        <v>166</v>
      </c>
      <c r="H28" s="2">
        <v>2021</v>
      </c>
      <c r="I28" s="2" t="s">
        <v>21</v>
      </c>
      <c r="J28" s="3"/>
      <c r="K28" s="3"/>
      <c r="L28" s="2"/>
      <c r="M28" s="3"/>
    </row>
    <row r="29" spans="1:13" x14ac:dyDescent="0.25">
      <c r="A29" s="2">
        <v>25</v>
      </c>
      <c r="B29" s="2" t="s">
        <v>77</v>
      </c>
      <c r="C29" s="3" t="str">
        <f>IF(B29="","",_xlfn.XLOOKUP(B29,CLIENTES!$A$4:$A$53,CLIENTES!$B$4:$B$53,"NO ENCONTRADO"))</f>
        <v xml:space="preserve">SEBASTIAN CUNHA </v>
      </c>
      <c r="D29" s="2" t="s">
        <v>17</v>
      </c>
      <c r="E29" s="2" t="str">
        <f>IF(D29="","",_xlfn.XLOOKUP(D29,CLASIFICACIONES!$A$4:$A$10,CLASIFICACIONES!$B$4:$B$10,"")&amp;"-"&amp;TEXT(COUNTIF($D$5:D28,D29)+1,"000"))</f>
        <v>CORP-022</v>
      </c>
      <c r="F29" s="3" t="s">
        <v>209</v>
      </c>
      <c r="G29" s="2" t="s">
        <v>166</v>
      </c>
      <c r="H29" s="2">
        <v>2024</v>
      </c>
      <c r="I29" s="2"/>
      <c r="J29" s="3"/>
      <c r="K29" s="3"/>
      <c r="L29" s="2"/>
      <c r="M29" s="3"/>
    </row>
    <row r="30" spans="1:13" x14ac:dyDescent="0.25">
      <c r="A30" s="2">
        <v>26</v>
      </c>
      <c r="B30" s="2" t="s">
        <v>75</v>
      </c>
      <c r="C30" s="3" t="str">
        <f>IF(B30="","",_xlfn.XLOOKUP(B30,CLIENTES!$A$4:$A$53,CLIENTES!$B$4:$B$53,"NO ENCONTRADO"))</f>
        <v>YOM TOB TOBI TAWACHI</v>
      </c>
      <c r="D30" s="2" t="s">
        <v>17</v>
      </c>
      <c r="E30" s="2" t="str">
        <f>IF(D30="","",_xlfn.XLOOKUP(D30,CLASIFICACIONES!$A$4:$A$10,CLASIFICACIONES!$B$4:$B$10,"")&amp;"-"&amp;TEXT(COUNTIF($D$5:D29,D30)+1,"000"))</f>
        <v>CORP-023</v>
      </c>
      <c r="F30" s="3" t="s">
        <v>210</v>
      </c>
      <c r="G30" s="2" t="s">
        <v>166</v>
      </c>
      <c r="H30" s="2">
        <v>2024</v>
      </c>
      <c r="I30" s="2"/>
      <c r="J30" s="3"/>
      <c r="K30" s="3"/>
      <c r="L30" s="2"/>
      <c r="M30" s="3"/>
    </row>
    <row r="31" spans="1:13" x14ac:dyDescent="0.25">
      <c r="A31" s="2">
        <v>27</v>
      </c>
      <c r="B31" s="2" t="s">
        <v>78</v>
      </c>
      <c r="C31" s="3" t="str">
        <f>IF(B31="","",_xlfn.XLOOKUP(B31,CLIENTES!$A$4:$A$53,CLIENTES!$B$4:$B$53,"NO ENCONTRADO"))</f>
        <v xml:space="preserve">FRANCO MORALES FLINT </v>
      </c>
      <c r="D31" s="2" t="s">
        <v>17</v>
      </c>
      <c r="E31" s="2" t="str">
        <f>IF(D31="","",_xlfn.XLOOKUP(D31,CLASIFICACIONES!$A$4:$A$10,CLASIFICACIONES!$B$4:$B$10,"")&amp;"-"&amp;TEXT(COUNTIF($D$5:D30,D31)+1,"000"))</f>
        <v>CORP-024</v>
      </c>
      <c r="F31" s="3" t="s">
        <v>212</v>
      </c>
      <c r="G31" s="2" t="s">
        <v>214</v>
      </c>
      <c r="H31" s="2">
        <v>2025</v>
      </c>
      <c r="I31" s="2"/>
      <c r="J31" s="3"/>
      <c r="K31" s="3"/>
      <c r="L31" s="2"/>
      <c r="M31" s="3"/>
    </row>
    <row r="32" spans="1:13" x14ac:dyDescent="0.25">
      <c r="A32" s="2">
        <v>28</v>
      </c>
      <c r="B32" s="2" t="s">
        <v>72</v>
      </c>
      <c r="C32" s="3" t="str">
        <f>IF(B32="","",_xlfn.XLOOKUP(B32,CLIENTES!$A$4:$A$53,CLIENTES!$B$4:$B$53,"NO ENCONTRADO"))</f>
        <v xml:space="preserve">ANGEL RICARDO MARTINEZ BENOIT </v>
      </c>
      <c r="D32" s="2" t="s">
        <v>17</v>
      </c>
      <c r="E32" s="2" t="str">
        <f>IF(D32="","",_xlfn.XLOOKUP(D32,CLASIFICACIONES!$A$4:$A$10,CLASIFICACIONES!$B$4:$B$10,"")&amp;"-"&amp;TEXT(COUNTIF($D$5:D31,D32)+1,"000"))</f>
        <v>CORP-025</v>
      </c>
      <c r="F32" s="3" t="s">
        <v>213</v>
      </c>
      <c r="G32" s="2" t="s">
        <v>166</v>
      </c>
      <c r="H32" s="2">
        <v>2025</v>
      </c>
      <c r="I32" s="2"/>
      <c r="J32" s="3"/>
      <c r="K32" s="3"/>
      <c r="L32" s="2"/>
      <c r="M32" s="3"/>
    </row>
    <row r="33" spans="1:13" x14ac:dyDescent="0.25">
      <c r="A33" s="2">
        <v>29</v>
      </c>
      <c r="B33" s="2" t="s">
        <v>79</v>
      </c>
      <c r="C33" s="3" t="str">
        <f>IF(B33="","",_xlfn.XLOOKUP(B33,CLIENTES!$A$4:$A$53,CLIENTES!$B$4:$B$53,"NO ENCONTRADO"))</f>
        <v xml:space="preserve">FREDDY ARIAS </v>
      </c>
      <c r="D33" s="2" t="s">
        <v>17</v>
      </c>
      <c r="E33" s="2" t="str">
        <f>IF(D33="","",_xlfn.XLOOKUP(D33,CLASIFICACIONES!$A$4:$A$10,CLASIFICACIONES!$B$4:$B$10,"")&amp;"-"&amp;TEXT(COUNTIF($D$5:D32,D33)+1,"000"))</f>
        <v>CORP-026</v>
      </c>
      <c r="F33" s="3" t="s">
        <v>218</v>
      </c>
      <c r="G33" s="2" t="s">
        <v>166</v>
      </c>
      <c r="H33" s="2">
        <v>2025</v>
      </c>
      <c r="I33" s="2"/>
      <c r="J33" s="3"/>
      <c r="K33" s="3"/>
      <c r="L33" s="2"/>
      <c r="M33" s="3"/>
    </row>
    <row r="34" spans="1:13" x14ac:dyDescent="0.25">
      <c r="A34" s="2">
        <v>30</v>
      </c>
      <c r="B34" s="2" t="s">
        <v>79</v>
      </c>
      <c r="C34" s="3" t="str">
        <f>IF(B34="","",_xlfn.XLOOKUP(B34,CLIENTES!$A$4:$A$53,CLIENTES!$B$4:$B$53,"NO ENCONTRADO"))</f>
        <v xml:space="preserve">FREDDY ARIAS </v>
      </c>
      <c r="D34" s="2" t="s">
        <v>17</v>
      </c>
      <c r="E34" s="2" t="str">
        <f>IF(D34="","",_xlfn.XLOOKUP(D34,CLASIFICACIONES!$A$4:$A$10,CLASIFICACIONES!$B$4:$B$10,"")&amp;"-"&amp;TEXT(COUNTIF($D$5:D33,D34)+1,"000"))</f>
        <v>CORP-027</v>
      </c>
      <c r="F34" s="3" t="s">
        <v>219</v>
      </c>
      <c r="G34" s="2" t="s">
        <v>166</v>
      </c>
      <c r="H34" s="2">
        <v>2025</v>
      </c>
      <c r="I34" s="2"/>
      <c r="J34" s="3"/>
      <c r="K34" s="3"/>
      <c r="L34" s="2"/>
      <c r="M34" s="3"/>
    </row>
    <row r="35" spans="1:13" x14ac:dyDescent="0.25">
      <c r="A35" s="2">
        <v>31</v>
      </c>
      <c r="B35" s="2" t="s">
        <v>64</v>
      </c>
      <c r="C35" s="3" t="str">
        <f>IF(B35="","",_xlfn.XLOOKUP(B35,CLIENTES!$A$4:$A$53,CLIENTES!$B$4:$B$53,"NO ENCONTRADO"))</f>
        <v xml:space="preserve">JONATHAN ISAAC MIZRACHI MADURO </v>
      </c>
      <c r="D35" s="2" t="s">
        <v>17</v>
      </c>
      <c r="E35" s="2" t="str">
        <f>IF(D35="","",_xlfn.XLOOKUP(D35,CLASIFICACIONES!$A$4:$A$10,CLASIFICACIONES!$B$4:$B$10,"")&amp;"-"&amp;TEXT(COUNTIF($D$5:D34,D35)+1,"000"))</f>
        <v>CORP-028</v>
      </c>
      <c r="F35" s="3" t="s">
        <v>220</v>
      </c>
      <c r="G35" s="2" t="s">
        <v>214</v>
      </c>
      <c r="H35" s="2">
        <v>2025</v>
      </c>
      <c r="I35" s="2"/>
      <c r="J35" s="3"/>
      <c r="K35" s="3"/>
      <c r="L35" s="2"/>
      <c r="M35" s="3"/>
    </row>
    <row r="36" spans="1:13" x14ac:dyDescent="0.25">
      <c r="A36" s="2">
        <v>32</v>
      </c>
      <c r="B36" s="2" t="s">
        <v>64</v>
      </c>
      <c r="C36" s="3" t="str">
        <f>IF(B36="","",_xlfn.XLOOKUP(B36,CLIENTES!$A$4:$A$53,CLIENTES!$B$4:$B$53,"NO ENCONTRADO"))</f>
        <v xml:space="preserve">JONATHAN ISAAC MIZRACHI MADURO </v>
      </c>
      <c r="D36" s="2" t="s">
        <v>17</v>
      </c>
      <c r="E36" s="2" t="str">
        <f>IF(D36="","",_xlfn.XLOOKUP(D36,CLASIFICACIONES!$A$4:$A$10,CLASIFICACIONES!$B$4:$B$10,"")&amp;"-"&amp;TEXT(COUNTIF($D$5:D35,D36)+1,"000"))</f>
        <v>CORP-029</v>
      </c>
      <c r="F36" s="3" t="s">
        <v>221</v>
      </c>
      <c r="G36" s="2" t="s">
        <v>214</v>
      </c>
      <c r="H36" s="2">
        <v>2025</v>
      </c>
      <c r="I36" s="2"/>
      <c r="J36" s="3"/>
      <c r="K36" s="3"/>
      <c r="L36" s="2"/>
      <c r="M36" s="3"/>
    </row>
    <row r="37" spans="1:13" x14ac:dyDescent="0.25">
      <c r="A37" s="2">
        <v>33</v>
      </c>
      <c r="B37" s="2" t="s">
        <v>64</v>
      </c>
      <c r="C37" s="3" t="str">
        <f>IF(B37="","",_xlfn.XLOOKUP(B37,CLIENTES!$A$4:$A$53,CLIENTES!$B$4:$B$53,"NO ENCONTRADO"))</f>
        <v xml:space="preserve">JONATHAN ISAAC MIZRACHI MADURO </v>
      </c>
      <c r="D37" s="2" t="s">
        <v>17</v>
      </c>
      <c r="E37" s="2" t="str">
        <f>IF(D37="","",_xlfn.XLOOKUP(D37,CLASIFICACIONES!$A$4:$A$10,CLASIFICACIONES!$B$4:$B$10,"")&amp;"-"&amp;TEXT(COUNTIF($D$5:D36,D37)+1,"000"))</f>
        <v>CORP-030</v>
      </c>
      <c r="F37" s="3" t="s">
        <v>222</v>
      </c>
      <c r="G37" s="2" t="s">
        <v>214</v>
      </c>
      <c r="H37" s="2">
        <v>2025</v>
      </c>
      <c r="I37" s="2"/>
      <c r="J37" s="3"/>
      <c r="K37" s="3"/>
      <c r="L37" s="2"/>
      <c r="M37" s="3"/>
    </row>
    <row r="38" spans="1:13" x14ac:dyDescent="0.25">
      <c r="A38" s="2">
        <v>34</v>
      </c>
      <c r="B38" s="2" t="s">
        <v>64</v>
      </c>
      <c r="C38" s="3" t="str">
        <f>IF(B38="","",_xlfn.XLOOKUP(B38,CLIENTES!$A$4:$A$53,CLIENTES!$B$4:$B$53,"NO ENCONTRADO"))</f>
        <v xml:space="preserve">JONATHAN ISAAC MIZRACHI MADURO </v>
      </c>
      <c r="D38" s="2" t="s">
        <v>17</v>
      </c>
      <c r="E38" s="2" t="str">
        <f>IF(D38="","",_xlfn.XLOOKUP(D38,CLASIFICACIONES!$A$4:$A$10,CLASIFICACIONES!$B$4:$B$10,"")&amp;"-"&amp;TEXT(COUNTIF($D$5:D37,D38)+1,"000"))</f>
        <v>CORP-031</v>
      </c>
      <c r="F38" s="3" t="s">
        <v>223</v>
      </c>
      <c r="G38" s="2" t="s">
        <v>214</v>
      </c>
      <c r="H38" s="2">
        <v>2025</v>
      </c>
      <c r="I38" s="2"/>
      <c r="J38" s="3"/>
      <c r="K38" s="3"/>
      <c r="L38" s="2"/>
      <c r="M38" s="3"/>
    </row>
    <row r="39" spans="1:13" x14ac:dyDescent="0.25">
      <c r="A39" s="2">
        <v>35</v>
      </c>
      <c r="B39" s="2" t="s">
        <v>64</v>
      </c>
      <c r="C39" s="3" t="str">
        <f>IF(B39="","",_xlfn.XLOOKUP(B39,CLIENTES!$A$4:$A$53,CLIENTES!$B$4:$B$53,"NO ENCONTRADO"))</f>
        <v xml:space="preserve">JONATHAN ISAAC MIZRACHI MADURO </v>
      </c>
      <c r="D39" s="2" t="s">
        <v>17</v>
      </c>
      <c r="E39" s="2" t="str">
        <f>IF(D39="","",_xlfn.XLOOKUP(D39,CLASIFICACIONES!$A$4:$A$10,CLASIFICACIONES!$B$4:$B$10,"")&amp;"-"&amp;TEXT(COUNTIF($D$5:D38,D39)+1,"000"))</f>
        <v>CORP-032</v>
      </c>
      <c r="F39" s="3" t="s">
        <v>225</v>
      </c>
      <c r="G39" s="2" t="s">
        <v>214</v>
      </c>
      <c r="H39" s="2">
        <v>2025</v>
      </c>
      <c r="I39" s="2"/>
      <c r="J39" s="3"/>
      <c r="K39" s="3"/>
      <c r="L39" s="2"/>
      <c r="M39" s="3"/>
    </row>
    <row r="40" spans="1:13" x14ac:dyDescent="0.25">
      <c r="A40" s="2">
        <v>36</v>
      </c>
      <c r="B40" s="2" t="s">
        <v>64</v>
      </c>
      <c r="C40" s="3" t="str">
        <f>IF(B40="","",_xlfn.XLOOKUP(B40,CLIENTES!$A$4:$A$53,CLIENTES!$B$4:$B$53,"NO ENCONTRADO"))</f>
        <v xml:space="preserve">JONATHAN ISAAC MIZRACHI MADURO </v>
      </c>
      <c r="D40" s="2" t="s">
        <v>17</v>
      </c>
      <c r="E40" s="2" t="str">
        <f>IF(D40="","",_xlfn.XLOOKUP(D40,CLASIFICACIONES!$A$4:$A$10,CLASIFICACIONES!$B$4:$B$10,"")&amp;"-"&amp;TEXT(COUNTIF($D$5:D39,D40)+1,"000"))</f>
        <v>CORP-033</v>
      </c>
      <c r="F40" s="3" t="s">
        <v>226</v>
      </c>
      <c r="G40" s="2" t="s">
        <v>214</v>
      </c>
      <c r="H40" s="2">
        <v>2025</v>
      </c>
      <c r="I40" s="2"/>
      <c r="J40" s="3"/>
      <c r="K40" s="3"/>
      <c r="L40" s="2"/>
      <c r="M40" s="3"/>
    </row>
    <row r="41" spans="1:13" x14ac:dyDescent="0.25">
      <c r="A41" s="2">
        <v>37</v>
      </c>
      <c r="B41" s="2" t="s">
        <v>64</v>
      </c>
      <c r="C41" s="3" t="str">
        <f>IF(B41="","",_xlfn.XLOOKUP(B41,CLIENTES!$A$4:$A$53,CLIENTES!$B$4:$B$53,"NO ENCONTRADO"))</f>
        <v xml:space="preserve">JONATHAN ISAAC MIZRACHI MADURO </v>
      </c>
      <c r="D41" s="2" t="s">
        <v>17</v>
      </c>
      <c r="E41" s="2" t="str">
        <f>IF(D41="","",_xlfn.XLOOKUP(D41,CLASIFICACIONES!$A$4:$A$10,CLASIFICACIONES!$B$4:$B$10,"")&amp;"-"&amp;TEXT(COUNTIF($D$5:D40,D41)+1,"000"))</f>
        <v>CORP-034</v>
      </c>
      <c r="F41" s="3" t="s">
        <v>227</v>
      </c>
      <c r="G41" s="2" t="s">
        <v>214</v>
      </c>
      <c r="H41" s="2">
        <v>2025</v>
      </c>
      <c r="I41" s="2"/>
      <c r="J41" s="3"/>
      <c r="K41" s="3"/>
      <c r="L41" s="2"/>
      <c r="M41" s="3"/>
    </row>
    <row r="42" spans="1:13" x14ac:dyDescent="0.25">
      <c r="A42" s="2">
        <v>38</v>
      </c>
      <c r="B42" s="2" t="s">
        <v>64</v>
      </c>
      <c r="C42" s="3" t="str">
        <f>IF(B42="","",_xlfn.XLOOKUP(B42,CLIENTES!$A$4:$A$53,CLIENTES!$B$4:$B$53,"NO ENCONTRADO"))</f>
        <v xml:space="preserve">JONATHAN ISAAC MIZRACHI MADURO </v>
      </c>
      <c r="D42" s="2" t="s">
        <v>17</v>
      </c>
      <c r="E42" s="2" t="str">
        <f>IF(D42="","",_xlfn.XLOOKUP(D42,CLASIFICACIONES!$A$4:$A$10,CLASIFICACIONES!$B$4:$B$10,"")&amp;"-"&amp;TEXT(COUNTIF($D$5:D41,D42)+1,"000"))</f>
        <v>CORP-035</v>
      </c>
      <c r="F42" s="3" t="s">
        <v>228</v>
      </c>
      <c r="G42" s="2" t="s">
        <v>214</v>
      </c>
      <c r="H42" s="2">
        <v>2025</v>
      </c>
      <c r="I42" s="2"/>
      <c r="J42" s="3"/>
      <c r="K42" s="3"/>
      <c r="L42" s="2"/>
      <c r="M42" s="3"/>
    </row>
    <row r="43" spans="1:13" x14ac:dyDescent="0.25">
      <c r="A43" s="2">
        <v>39</v>
      </c>
      <c r="B43" s="2" t="s">
        <v>64</v>
      </c>
      <c r="C43" s="3" t="str">
        <f>IF(B43="","",_xlfn.XLOOKUP(B43,CLIENTES!$A$4:$A$53,CLIENTES!$B$4:$B$53,"NO ENCONTRADO"))</f>
        <v xml:space="preserve">JONATHAN ISAAC MIZRACHI MADURO </v>
      </c>
      <c r="D43" s="2" t="s">
        <v>17</v>
      </c>
      <c r="E43" s="2" t="str">
        <f>IF(D43="","",_xlfn.XLOOKUP(D43,CLASIFICACIONES!$A$4:$A$10,CLASIFICACIONES!$B$4:$B$10,"")&amp;"-"&amp;TEXT(COUNTIF($D$5:D42,D43)+1,"000"))</f>
        <v>CORP-036</v>
      </c>
      <c r="F43" s="3" t="s">
        <v>229</v>
      </c>
      <c r="G43" s="2" t="s">
        <v>214</v>
      </c>
      <c r="H43" s="2">
        <v>2025</v>
      </c>
      <c r="I43" s="2"/>
      <c r="J43" s="3"/>
      <c r="K43" s="3"/>
      <c r="L43" s="2"/>
      <c r="M43" s="3"/>
    </row>
    <row r="44" spans="1:13" x14ac:dyDescent="0.25">
      <c r="A44" s="2">
        <v>40</v>
      </c>
      <c r="B44" s="2" t="s">
        <v>64</v>
      </c>
      <c r="C44" s="3" t="str">
        <f>IF(B44="","",_xlfn.XLOOKUP(B44,CLIENTES!$A$4:$A$53,CLIENTES!$B$4:$B$53,"NO ENCONTRADO"))</f>
        <v xml:space="preserve">JONATHAN ISAAC MIZRACHI MADURO </v>
      </c>
      <c r="D44" s="2" t="s">
        <v>17</v>
      </c>
      <c r="E44" s="2" t="str">
        <f>IF(D44="","",_xlfn.XLOOKUP(D44,CLASIFICACIONES!$A$4:$A$10,CLASIFICACIONES!$B$4:$B$10,"")&amp;"-"&amp;TEXT(COUNTIF($D$5:D43,D44)+1,"000"))</f>
        <v>CORP-037</v>
      </c>
      <c r="F44" s="3" t="s">
        <v>230</v>
      </c>
      <c r="G44" s="2" t="s">
        <v>214</v>
      </c>
      <c r="H44" s="2">
        <v>2025</v>
      </c>
      <c r="I44" s="2"/>
      <c r="J44" s="3"/>
      <c r="K44" s="3"/>
      <c r="L44" s="2"/>
      <c r="M44" s="3"/>
    </row>
    <row r="45" spans="1:13" x14ac:dyDescent="0.25">
      <c r="A45" s="2">
        <v>41</v>
      </c>
      <c r="B45" s="2" t="s">
        <v>64</v>
      </c>
      <c r="C45" s="3" t="str">
        <f>IF(B45="","",_xlfn.XLOOKUP(B45,CLIENTES!$A$4:$A$53,CLIENTES!$B$4:$B$53,"NO ENCONTRADO"))</f>
        <v xml:space="preserve">JONATHAN ISAAC MIZRACHI MADURO </v>
      </c>
      <c r="D45" s="2" t="s">
        <v>17</v>
      </c>
      <c r="E45" s="2" t="str">
        <f>IF(D45="","",_xlfn.XLOOKUP(D45,CLASIFICACIONES!$A$4:$A$10,CLASIFICACIONES!$B$4:$B$10,"")&amp;"-"&amp;TEXT(COUNTIF($D$5:D44,D45)+1,"000"))</f>
        <v>CORP-038</v>
      </c>
      <c r="F45" s="3" t="s">
        <v>231</v>
      </c>
      <c r="G45" s="2" t="s">
        <v>214</v>
      </c>
      <c r="H45" s="2">
        <v>2025</v>
      </c>
      <c r="I45" s="2"/>
      <c r="J45" s="3"/>
      <c r="K45" s="3"/>
      <c r="L45" s="2"/>
      <c r="M45" s="3"/>
    </row>
    <row r="46" spans="1:13" x14ac:dyDescent="0.25">
      <c r="A46" s="2">
        <v>42</v>
      </c>
      <c r="B46" s="2" t="s">
        <v>64</v>
      </c>
      <c r="C46" s="3" t="str">
        <f>IF(B46="","",_xlfn.XLOOKUP(B46,CLIENTES!$A$4:$A$53,CLIENTES!$B$4:$B$53,"NO ENCONTRADO"))</f>
        <v xml:space="preserve">JONATHAN ISAAC MIZRACHI MADURO </v>
      </c>
      <c r="D46" s="2" t="s">
        <v>17</v>
      </c>
      <c r="E46" s="2" t="str">
        <f>IF(D46="","",_xlfn.XLOOKUP(D46,CLASIFICACIONES!$A$4:$A$10,CLASIFICACIONES!$B$4:$B$10,"")&amp;"-"&amp;TEXT(COUNTIF($D$5:D45,D46)+1,"000"))</f>
        <v>CORP-039</v>
      </c>
      <c r="F46" s="3" t="s">
        <v>232</v>
      </c>
      <c r="G46" s="2" t="s">
        <v>214</v>
      </c>
      <c r="H46" s="2">
        <v>2025</v>
      </c>
      <c r="I46" s="2"/>
      <c r="J46" s="3"/>
      <c r="K46" s="3"/>
      <c r="L46" s="2"/>
      <c r="M46" s="3"/>
    </row>
    <row r="47" spans="1:13" x14ac:dyDescent="0.25">
      <c r="A47" s="2">
        <v>43</v>
      </c>
      <c r="B47" s="2" t="s">
        <v>80</v>
      </c>
      <c r="C47" s="3" t="str">
        <f>IF(B47="","",_xlfn.XLOOKUP(B47,CLIENTES!$A$4:$A$53,CLIENTES!$B$4:$B$53,"NO ENCONTRADO"))</f>
        <v xml:space="preserve">RAYMOND MIZRACHI </v>
      </c>
      <c r="D47" s="2" t="s">
        <v>17</v>
      </c>
      <c r="E47" s="2" t="str">
        <f>IF(D47="","",_xlfn.XLOOKUP(D47,CLASIFICACIONES!$A$4:$A$10,CLASIFICACIONES!$B$4:$B$10,"")&amp;"-"&amp;TEXT(COUNTIF($D$5:D46,D47)+1,"000"))</f>
        <v>CORP-040</v>
      </c>
      <c r="F47" s="3" t="s">
        <v>235</v>
      </c>
      <c r="G47" s="2" t="s">
        <v>214</v>
      </c>
      <c r="H47" s="2">
        <v>2025</v>
      </c>
      <c r="I47" s="2"/>
      <c r="J47" s="3"/>
      <c r="K47" s="3"/>
      <c r="L47" s="2"/>
      <c r="M47" s="3"/>
    </row>
    <row r="48" spans="1:13" x14ac:dyDescent="0.25">
      <c r="A48" s="2">
        <v>44</v>
      </c>
      <c r="B48" s="2" t="s">
        <v>80</v>
      </c>
      <c r="C48" s="3" t="str">
        <f>IF(B48="","",_xlfn.XLOOKUP(B48,CLIENTES!$A$4:$A$53,CLIENTES!$B$4:$B$53,"NO ENCONTRADO"))</f>
        <v xml:space="preserve">RAYMOND MIZRACHI </v>
      </c>
      <c r="D48" s="2" t="s">
        <v>17</v>
      </c>
      <c r="E48" s="2" t="str">
        <f>IF(D48="","",_xlfn.XLOOKUP(D48,CLASIFICACIONES!$A$4:$A$10,CLASIFICACIONES!$B$4:$B$10,"")&amp;"-"&amp;TEXT(COUNTIF($D$5:D47,D48)+1,"000"))</f>
        <v>CORP-041</v>
      </c>
      <c r="F48" s="3" t="s">
        <v>224</v>
      </c>
      <c r="G48" s="2" t="s">
        <v>214</v>
      </c>
      <c r="H48" s="2">
        <v>2025</v>
      </c>
      <c r="I48" s="2"/>
      <c r="J48" s="3"/>
      <c r="K48" s="3"/>
      <c r="L48" s="2"/>
      <c r="M48" s="3"/>
    </row>
    <row r="49" spans="1:13" x14ac:dyDescent="0.25">
      <c r="A49" s="2">
        <v>45</v>
      </c>
      <c r="B49" s="2" t="s">
        <v>81</v>
      </c>
      <c r="C49" s="3" t="s">
        <v>236</v>
      </c>
      <c r="D49" s="2" t="s">
        <v>17</v>
      </c>
      <c r="E49" s="2" t="str">
        <f>IF(D49="","",_xlfn.XLOOKUP(D49,CLASIFICACIONES!$A$4:$A$10,CLASIFICACIONES!$B$4:$B$10,"")&amp;"-"&amp;TEXT(COUNTIF($D$5:D48,D49)+1,"000"))</f>
        <v>CORP-042</v>
      </c>
      <c r="F49" s="3" t="s">
        <v>242</v>
      </c>
      <c r="G49" s="2" t="s">
        <v>163</v>
      </c>
      <c r="H49" s="2">
        <v>2025</v>
      </c>
      <c r="I49" s="2" t="s">
        <v>21</v>
      </c>
      <c r="J49" s="3"/>
      <c r="K49" s="3"/>
      <c r="L49" s="2"/>
      <c r="M49" s="3"/>
    </row>
    <row r="50" spans="1:13" x14ac:dyDescent="0.25">
      <c r="A50" s="2">
        <v>46</v>
      </c>
      <c r="B50" s="2" t="s">
        <v>81</v>
      </c>
      <c r="C50" s="3" t="str">
        <f>IF(B50="","",_xlfn.XLOOKUP(B50,CLIENTES!$A$4:$A$53,CLIENTES!$B$4:$B$53,"NO ENCONTRADO"))</f>
        <v xml:space="preserve">CARLOS ENRIQUE PULIDO </v>
      </c>
      <c r="D50" s="2" t="s">
        <v>17</v>
      </c>
      <c r="E50" s="2" t="str">
        <f>IF(D50="","",_xlfn.XLOOKUP(D50,CLASIFICACIONES!$A$4:$A$10,CLASIFICACIONES!$B$4:$B$10,"")&amp;"-"&amp;TEXT(COUNTIF($D$5:D49,D50)+1,"000"))</f>
        <v>CORP-043</v>
      </c>
      <c r="F50" s="3" t="s">
        <v>241</v>
      </c>
      <c r="G50" s="2" t="s">
        <v>163</v>
      </c>
      <c r="H50" s="2">
        <v>2026</v>
      </c>
      <c r="I50" s="2" t="s">
        <v>151</v>
      </c>
      <c r="J50" s="3"/>
      <c r="K50" s="3"/>
      <c r="L50" s="2"/>
      <c r="M50" s="3"/>
    </row>
    <row r="51" spans="1:13" x14ac:dyDescent="0.25">
      <c r="A51" s="2">
        <v>47</v>
      </c>
      <c r="B51" s="2"/>
      <c r="C51" s="3" t="str">
        <f>IF(B51="","",_xlfn.XLOOKUP(B51,CLIENTES!$A$4:$A$53,CLIENTES!$B$4:$B$53,"NO ENCONTRADO"))</f>
        <v/>
      </c>
      <c r="D51" s="2"/>
      <c r="E51" s="2" t="str">
        <f>IF(D51="","",_xlfn.XLOOKUP(D51,CLASIFICACIONES!$A$4:$A$10,CLASIFICACIONES!$B$4:$B$10,"")&amp;"-"&amp;TEXT(COUNTIF($D$5:D50,D51)+1,"000"))</f>
        <v/>
      </c>
      <c r="F51" s="3"/>
      <c r="G51" s="2"/>
      <c r="H51" s="2"/>
      <c r="I51" s="2"/>
      <c r="J51" s="3"/>
      <c r="K51" s="3"/>
      <c r="L51" s="2"/>
      <c r="M51" s="3"/>
    </row>
    <row r="52" spans="1:13" x14ac:dyDescent="0.25">
      <c r="A52" s="2">
        <v>48</v>
      </c>
      <c r="B52" s="2"/>
      <c r="C52" s="3" t="str">
        <f>IF(B52="","",_xlfn.XLOOKUP(B52,CLIENTES!$A$4:$A$53,CLIENTES!$B$4:$B$53,"NO ENCONTRADO"))</f>
        <v/>
      </c>
      <c r="D52" s="2"/>
      <c r="E52" s="2" t="str">
        <f>IF(D52="","",_xlfn.XLOOKUP(D52,CLASIFICACIONES!$A$4:$A$10,CLASIFICACIONES!$B$4:$B$10,"")&amp;"-"&amp;TEXT(COUNTIF($D$5:D51,D52)+1,"000"))</f>
        <v/>
      </c>
      <c r="F52" s="3"/>
      <c r="G52" s="2"/>
      <c r="H52" s="2"/>
      <c r="I52" s="2"/>
      <c r="J52" s="3"/>
      <c r="K52" s="3"/>
      <c r="L52" s="2"/>
      <c r="M52" s="3"/>
    </row>
    <row r="53" spans="1:13" x14ac:dyDescent="0.25">
      <c r="A53" s="2">
        <v>49</v>
      </c>
      <c r="B53" s="2"/>
      <c r="C53" s="3" t="str">
        <f>IF(B53="","",_xlfn.XLOOKUP(B53,CLIENTES!$A$4:$A$53,CLIENTES!$B$4:$B$53,"NO ENCONTRADO"))</f>
        <v/>
      </c>
      <c r="D53" s="2"/>
      <c r="E53" s="2" t="str">
        <f>IF(D53="","",_xlfn.XLOOKUP(D53,CLASIFICACIONES!$A$4:$A$10,CLASIFICACIONES!$B$4:$B$10,"")&amp;"-"&amp;TEXT(COUNTIF($D$5:D52,D53)+1,"000"))</f>
        <v/>
      </c>
      <c r="F53" s="3"/>
      <c r="G53" s="2"/>
      <c r="H53" s="2"/>
      <c r="I53" s="2"/>
      <c r="J53" s="3"/>
      <c r="K53" s="3"/>
      <c r="L53" s="2"/>
      <c r="M53" s="3"/>
    </row>
    <row r="54" spans="1:13" x14ac:dyDescent="0.25">
      <c r="A54" s="2">
        <v>50</v>
      </c>
      <c r="B54" s="2"/>
      <c r="C54" s="3" t="str">
        <f>IF(B54="","",_xlfn.XLOOKUP(B54,CLIENTES!$A$4:$A$53,CLIENTES!$B$4:$B$53,"NO ENCONTRADO"))</f>
        <v/>
      </c>
      <c r="D54" s="2"/>
      <c r="E54" s="2" t="str">
        <f>IF(D54="","",_xlfn.XLOOKUP(D54,CLASIFICACIONES!$A$4:$A$10,CLASIFICACIONES!$B$4:$B$10,"")&amp;"-"&amp;TEXT(COUNTIF($D$5:D53,D54)+1,"000"))</f>
        <v/>
      </c>
      <c r="F54" s="3"/>
      <c r="G54" s="2"/>
      <c r="H54" s="2"/>
      <c r="I54" s="2"/>
      <c r="J54" s="3"/>
      <c r="K54" s="3"/>
      <c r="L54" s="2"/>
      <c r="M54" s="3"/>
    </row>
  </sheetData>
  <autoFilter ref="A4:M54" xr:uid="{00000000-0009-0000-0000-000000000000}"/>
  <mergeCells count="2">
    <mergeCell ref="A1:M1"/>
    <mergeCell ref="A2:M2"/>
  </mergeCells>
  <conditionalFormatting sqref="D5:D54">
    <cfRule type="containsText" dxfId="13" priority="1" operator="containsText" text="CORPORATIVO">
      <formula>NOT(ISERROR(SEARCH("CORPORATIVO",D5)))</formula>
    </cfRule>
    <cfRule type="containsText" dxfId="12" priority="2" operator="containsText" text="MIGRACIÓN">
      <formula>NOT(ISERROR(SEARCH("MIGRACIÓN",D5)))</formula>
    </cfRule>
    <cfRule type="containsText" dxfId="11" priority="3" operator="containsText" text="LABORAL">
      <formula>NOT(ISERROR(SEARCH("LABORAL",D5)))</formula>
    </cfRule>
    <cfRule type="containsText" dxfId="10" priority="4" operator="containsText" text="PENAL">
      <formula>NOT(ISERROR(SEARCH("PENAL",D5)))</formula>
    </cfRule>
    <cfRule type="containsText" dxfId="9" priority="5" operator="containsText" text="CIVIL">
      <formula>NOT(ISERROR(SEARCH("CIVIL",D5)))</formula>
    </cfRule>
    <cfRule type="containsText" dxfId="8" priority="6" operator="containsText" text="ADMINISTRATIVO">
      <formula>NOT(ISERROR(SEARCH("ADMINISTRATIVO",D5)))</formula>
    </cfRule>
    <cfRule type="containsText" dxfId="7" priority="7" operator="containsText" text="REGULATORIO">
      <formula>NOT(ISERROR(SEARCH("REGULATORIO",D5)))</formula>
    </cfRule>
  </conditionalFormatting>
  <conditionalFormatting sqref="M5:M54">
    <cfRule type="expression" dxfId="6" priority="8">
      <formula>$D5="CORPORATIVO"</formula>
    </cfRule>
    <cfRule type="expression" dxfId="5" priority="9">
      <formula>$D5="MIGRACIÓN"</formula>
    </cfRule>
    <cfRule type="expression" dxfId="4" priority="10">
      <formula>$D5="LABORAL"</formula>
    </cfRule>
    <cfRule type="expression" dxfId="3" priority="11">
      <formula>$D5="PENAL"</formula>
    </cfRule>
    <cfRule type="expression" dxfId="2" priority="12">
      <formula>$D5="CIVIL"</formula>
    </cfRule>
    <cfRule type="expression" dxfId="1" priority="13">
      <formula>$D5="ADMINISTRATIVO"</formula>
    </cfRule>
    <cfRule type="expression" dxfId="0" priority="14">
      <formula>$D5="REGULATORIO"</formula>
    </cfRule>
  </conditionalFormatting>
  <dataValidations count="3">
    <dataValidation type="list" allowBlank="1" errorTitle="Clasificación inválida" error="Seleccione una clasificación válida" promptTitle="Clasificación" prompt="Seleccione la clasificación del expediente" sqref="D5:D54" xr:uid="{00000000-0002-0000-0000-000000000000}">
      <formula1>"CORPORATIVO,MIGRACIÓN,LABORAL,PENAL,CIVIL,ADMINISTRATIVO,REGULATORIO"</formula1>
      <formula2>0</formula2>
    </dataValidation>
    <dataValidation type="list" allowBlank="1" sqref="I5:I54" xr:uid="{00000000-0002-0000-0000-000001000000}">
      <formula1>"Activo,En trámite,Suspendido,Cerrado,Archivado"</formula1>
      <formula2>0</formula2>
    </dataValidation>
    <dataValidation type="list" allowBlank="1" sqref="L5:L54" xr:uid="{00000000-0002-0000-0000-000002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workbookViewId="0">
      <selection activeCell="D4" sqref="D4"/>
    </sheetView>
  </sheetViews>
  <sheetFormatPr baseColWidth="10" defaultColWidth="8.7109375" defaultRowHeight="15" customHeight="1" x14ac:dyDescent="0.25"/>
  <cols>
    <col min="1" max="1" width="22" customWidth="1"/>
    <col min="2" max="2" width="12" customWidth="1"/>
    <col min="3" max="3" width="18" customWidth="1"/>
    <col min="4" max="4" width="50" customWidth="1"/>
  </cols>
  <sheetData>
    <row r="1" spans="1:4" ht="30" customHeight="1" x14ac:dyDescent="0.25">
      <c r="A1" s="32" t="s">
        <v>24</v>
      </c>
      <c r="B1" s="32"/>
      <c r="C1" s="32"/>
      <c r="D1" s="32"/>
    </row>
    <row r="3" spans="1:4" ht="30" x14ac:dyDescent="0.25">
      <c r="A3" s="1" t="s">
        <v>5</v>
      </c>
      <c r="B3" s="1" t="s">
        <v>25</v>
      </c>
      <c r="C3" s="1" t="s">
        <v>26</v>
      </c>
      <c r="D3" s="1" t="s">
        <v>27</v>
      </c>
    </row>
    <row r="4" spans="1:4" ht="25.5" x14ac:dyDescent="0.25">
      <c r="A4" s="6" t="s">
        <v>17</v>
      </c>
      <c r="B4" s="2" t="s">
        <v>28</v>
      </c>
      <c r="C4" s="7"/>
      <c r="D4" s="3" t="s">
        <v>29</v>
      </c>
    </row>
    <row r="5" spans="1:4" ht="25.5" x14ac:dyDescent="0.25">
      <c r="A5" s="8" t="s">
        <v>30</v>
      </c>
      <c r="B5" s="2" t="s">
        <v>31</v>
      </c>
      <c r="C5" s="9"/>
      <c r="D5" s="3" t="s">
        <v>32</v>
      </c>
    </row>
    <row r="6" spans="1:4" ht="25.5" x14ac:dyDescent="0.25">
      <c r="A6" s="10" t="s">
        <v>33</v>
      </c>
      <c r="B6" s="2" t="s">
        <v>34</v>
      </c>
      <c r="C6" s="11"/>
      <c r="D6" s="3" t="s">
        <v>35</v>
      </c>
    </row>
    <row r="7" spans="1:4" ht="25.5" x14ac:dyDescent="0.25">
      <c r="A7" s="12" t="s">
        <v>36</v>
      </c>
      <c r="B7" s="2" t="s">
        <v>37</v>
      </c>
      <c r="C7" s="13"/>
      <c r="D7" s="3" t="s">
        <v>38</v>
      </c>
    </row>
    <row r="8" spans="1:4" ht="25.5" x14ac:dyDescent="0.25">
      <c r="A8" s="14" t="s">
        <v>39</v>
      </c>
      <c r="B8" s="2" t="s">
        <v>40</v>
      </c>
      <c r="C8" s="15"/>
      <c r="D8" s="3" t="s">
        <v>41</v>
      </c>
    </row>
    <row r="9" spans="1:4" ht="25.5" x14ac:dyDescent="0.25">
      <c r="A9" s="16" t="s">
        <v>42</v>
      </c>
      <c r="B9" s="2" t="s">
        <v>43</v>
      </c>
      <c r="C9" s="17"/>
      <c r="D9" s="3" t="s">
        <v>44</v>
      </c>
    </row>
    <row r="10" spans="1:4" ht="25.5" x14ac:dyDescent="0.25">
      <c r="A10" s="18" t="s">
        <v>45</v>
      </c>
      <c r="B10" s="2" t="s">
        <v>46</v>
      </c>
      <c r="C10" s="19"/>
      <c r="D10" s="3" t="s">
        <v>47</v>
      </c>
    </row>
    <row r="13" spans="1:4" x14ac:dyDescent="0.25">
      <c r="A13" s="33" t="s">
        <v>48</v>
      </c>
      <c r="B13" s="33"/>
      <c r="C13" s="33"/>
      <c r="D13" s="33"/>
    </row>
  </sheetData>
  <mergeCells count="2">
    <mergeCell ref="A1:D1"/>
    <mergeCell ref="A13:D13"/>
  </mergeCells>
  <pageMargins left="0.75" right="0.75" top="1" bottom="1" header="0.511811023622047" footer="0.511811023622047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zoomScaleNormal="100" workbookViewId="0">
      <pane ySplit="3" topLeftCell="A4" activePane="bottomLeft" state="frozen"/>
      <selection pane="bottomLeft" activeCell="A26" sqref="A26"/>
    </sheetView>
  </sheetViews>
  <sheetFormatPr baseColWidth="10" defaultColWidth="8.7109375" defaultRowHeight="15" customHeight="1" x14ac:dyDescent="0.25"/>
  <cols>
    <col min="1" max="1" width="14" customWidth="1"/>
    <col min="2" max="2" width="30" customWidth="1"/>
    <col min="3" max="4" width="16" customWidth="1"/>
    <col min="5" max="5" width="24" customWidth="1"/>
    <col min="6" max="6" width="16" customWidth="1"/>
    <col min="7" max="7" width="33.28515625" customWidth="1"/>
    <col min="8" max="8" width="55.7109375" customWidth="1"/>
  </cols>
  <sheetData>
    <row r="1" spans="1:8" ht="30" customHeight="1" x14ac:dyDescent="0.25">
      <c r="A1" s="32" t="s">
        <v>49</v>
      </c>
      <c r="B1" s="32"/>
      <c r="C1" s="32"/>
      <c r="D1" s="32"/>
      <c r="E1" s="32"/>
      <c r="F1" s="32"/>
      <c r="G1" s="32"/>
      <c r="H1" s="32"/>
    </row>
    <row r="3" spans="1:8" ht="30" x14ac:dyDescent="0.25">
      <c r="A3" s="1" t="s">
        <v>3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12</v>
      </c>
    </row>
    <row r="4" spans="1:8" ht="25.5" x14ac:dyDescent="0.25">
      <c r="A4" s="2" t="s">
        <v>15</v>
      </c>
      <c r="B4" s="3" t="s">
        <v>16</v>
      </c>
      <c r="C4" s="2"/>
      <c r="D4" s="2" t="s">
        <v>56</v>
      </c>
      <c r="E4" s="3" t="s">
        <v>57</v>
      </c>
      <c r="F4" s="2" t="s">
        <v>58</v>
      </c>
      <c r="G4" s="3" t="s">
        <v>59</v>
      </c>
      <c r="H4" s="3"/>
    </row>
    <row r="5" spans="1:8" x14ac:dyDescent="0.25">
      <c r="A5" s="2" t="s">
        <v>60</v>
      </c>
      <c r="B5" s="20" t="s">
        <v>109</v>
      </c>
      <c r="C5" s="20" t="s">
        <v>110</v>
      </c>
      <c r="D5" s="20" t="s">
        <v>56</v>
      </c>
      <c r="E5" s="20" t="s">
        <v>109</v>
      </c>
      <c r="F5" s="20" t="s">
        <v>121</v>
      </c>
      <c r="G5" s="21" t="s">
        <v>111</v>
      </c>
      <c r="H5" s="20" t="s">
        <v>112</v>
      </c>
    </row>
    <row r="6" spans="1:8" x14ac:dyDescent="0.25">
      <c r="A6" s="2" t="s">
        <v>61</v>
      </c>
      <c r="B6" s="20" t="s">
        <v>115</v>
      </c>
      <c r="C6" s="20"/>
      <c r="D6" s="20" t="s">
        <v>119</v>
      </c>
      <c r="E6" s="20" t="s">
        <v>120</v>
      </c>
      <c r="F6" s="20" t="s">
        <v>122</v>
      </c>
      <c r="G6" s="21" t="s">
        <v>123</v>
      </c>
      <c r="H6" s="20"/>
    </row>
    <row r="7" spans="1:8" ht="26.25" x14ac:dyDescent="0.25">
      <c r="A7" s="2" t="s">
        <v>62</v>
      </c>
      <c r="B7" s="23" t="s">
        <v>126</v>
      </c>
      <c r="C7" s="20" t="s">
        <v>127</v>
      </c>
      <c r="D7" s="20" t="s">
        <v>128</v>
      </c>
      <c r="E7" s="20" t="s">
        <v>129</v>
      </c>
      <c r="F7" s="20" t="s">
        <v>130</v>
      </c>
      <c r="G7" s="21" t="s">
        <v>131</v>
      </c>
      <c r="H7" s="23" t="s">
        <v>132</v>
      </c>
    </row>
    <row r="8" spans="1:8" x14ac:dyDescent="0.25">
      <c r="A8" s="2" t="s">
        <v>63</v>
      </c>
      <c r="B8" s="20" t="s">
        <v>137</v>
      </c>
      <c r="C8" s="20"/>
      <c r="D8" s="20" t="s">
        <v>128</v>
      </c>
      <c r="E8" s="20" t="s">
        <v>138</v>
      </c>
      <c r="F8" s="20" t="s">
        <v>139</v>
      </c>
      <c r="G8" s="20"/>
      <c r="H8" s="20" t="s">
        <v>140</v>
      </c>
    </row>
    <row r="9" spans="1:8" ht="26.25" x14ac:dyDescent="0.25">
      <c r="A9" s="2" t="s">
        <v>64</v>
      </c>
      <c r="B9" s="23" t="s">
        <v>143</v>
      </c>
      <c r="C9" s="20" t="s">
        <v>147</v>
      </c>
      <c r="D9" s="20"/>
      <c r="E9" s="20" t="s">
        <v>144</v>
      </c>
      <c r="F9" s="20" t="s">
        <v>145</v>
      </c>
      <c r="G9" s="21" t="s">
        <v>146</v>
      </c>
      <c r="H9" s="20" t="s">
        <v>148</v>
      </c>
    </row>
    <row r="10" spans="1:8" ht="27" x14ac:dyDescent="0.25">
      <c r="A10" s="2" t="s">
        <v>65</v>
      </c>
      <c r="B10" s="24" t="s">
        <v>153</v>
      </c>
      <c r="C10" s="20" t="s">
        <v>152</v>
      </c>
      <c r="D10" s="20" t="s">
        <v>128</v>
      </c>
      <c r="E10" s="25" t="s">
        <v>153</v>
      </c>
      <c r="F10" s="20">
        <v>66541129</v>
      </c>
      <c r="G10" s="21" t="s">
        <v>155</v>
      </c>
      <c r="H10" s="26" t="s">
        <v>154</v>
      </c>
    </row>
    <row r="11" spans="1:8" ht="26.25" x14ac:dyDescent="0.25">
      <c r="A11" s="2" t="s">
        <v>66</v>
      </c>
      <c r="B11" s="29" t="s">
        <v>157</v>
      </c>
      <c r="C11" s="20"/>
      <c r="D11" s="26" t="s">
        <v>128</v>
      </c>
      <c r="E11" s="26" t="s">
        <v>158</v>
      </c>
      <c r="F11" s="26" t="s">
        <v>159</v>
      </c>
      <c r="G11" s="21" t="s">
        <v>161</v>
      </c>
      <c r="H11" s="26" t="s">
        <v>160</v>
      </c>
    </row>
    <row r="12" spans="1:8" x14ac:dyDescent="0.25">
      <c r="A12" s="2" t="s">
        <v>67</v>
      </c>
      <c r="B12" s="20" t="s">
        <v>167</v>
      </c>
      <c r="C12" s="20"/>
      <c r="D12" s="20" t="s">
        <v>119</v>
      </c>
      <c r="E12" s="20" t="s">
        <v>168</v>
      </c>
      <c r="F12" s="20"/>
      <c r="G12" s="21" t="s">
        <v>169</v>
      </c>
      <c r="H12" s="20" t="s">
        <v>170</v>
      </c>
    </row>
    <row r="13" spans="1:8" x14ac:dyDescent="0.25">
      <c r="A13" s="2" t="s">
        <v>68</v>
      </c>
      <c r="B13" s="20" t="s">
        <v>172</v>
      </c>
      <c r="C13" s="20"/>
      <c r="D13" s="20" t="s">
        <v>128</v>
      </c>
      <c r="E13" s="20" t="s">
        <v>176</v>
      </c>
      <c r="F13" s="20" t="s">
        <v>177</v>
      </c>
      <c r="G13" s="21" t="s">
        <v>180</v>
      </c>
      <c r="H13" s="20" t="s">
        <v>182</v>
      </c>
    </row>
    <row r="14" spans="1:8" x14ac:dyDescent="0.25">
      <c r="A14" s="2" t="s">
        <v>69</v>
      </c>
      <c r="B14" s="20" t="s">
        <v>174</v>
      </c>
      <c r="C14" s="20"/>
      <c r="D14" s="20" t="s">
        <v>128</v>
      </c>
      <c r="E14" s="20" t="s">
        <v>178</v>
      </c>
      <c r="F14" s="20" t="s">
        <v>179</v>
      </c>
      <c r="G14" s="21" t="s">
        <v>181</v>
      </c>
      <c r="H14" s="20" t="s">
        <v>183</v>
      </c>
    </row>
    <row r="15" spans="1:8" x14ac:dyDescent="0.25">
      <c r="A15" s="2" t="s">
        <v>70</v>
      </c>
      <c r="B15" s="20" t="s">
        <v>185</v>
      </c>
      <c r="C15" s="20"/>
      <c r="D15" s="20" t="s">
        <v>128</v>
      </c>
      <c r="E15" s="20" t="s">
        <v>184</v>
      </c>
      <c r="F15" s="20"/>
      <c r="G15" s="20"/>
      <c r="H15" s="20"/>
    </row>
    <row r="16" spans="1:8" x14ac:dyDescent="0.25">
      <c r="A16" s="2" t="s">
        <v>71</v>
      </c>
      <c r="B16" s="20" t="s">
        <v>187</v>
      </c>
      <c r="C16" s="20"/>
      <c r="D16" s="20" t="s">
        <v>128</v>
      </c>
      <c r="E16" s="20" t="s">
        <v>192</v>
      </c>
      <c r="F16" s="20"/>
      <c r="G16" s="20"/>
      <c r="H16" s="20"/>
    </row>
    <row r="17" spans="1:8" ht="26.25" x14ac:dyDescent="0.25">
      <c r="A17" s="2" t="s">
        <v>72</v>
      </c>
      <c r="B17" s="23" t="s">
        <v>189</v>
      </c>
      <c r="C17" s="20" t="s">
        <v>190</v>
      </c>
      <c r="D17" s="20" t="s">
        <v>128</v>
      </c>
      <c r="E17" s="20" t="s">
        <v>191</v>
      </c>
      <c r="F17" s="20"/>
      <c r="G17" s="20"/>
      <c r="H17" s="20"/>
    </row>
    <row r="18" spans="1:8" x14ac:dyDescent="0.25">
      <c r="A18" s="2" t="s">
        <v>73</v>
      </c>
      <c r="B18" s="20" t="s">
        <v>194</v>
      </c>
      <c r="C18" s="20" t="s">
        <v>195</v>
      </c>
      <c r="D18" s="20" t="s">
        <v>128</v>
      </c>
      <c r="E18" s="20"/>
      <c r="F18" s="20"/>
      <c r="G18" s="20"/>
      <c r="H18" s="20"/>
    </row>
    <row r="19" spans="1:8" x14ac:dyDescent="0.25">
      <c r="A19" s="2" t="s">
        <v>74</v>
      </c>
      <c r="B19" s="20" t="s">
        <v>198</v>
      </c>
      <c r="C19" s="20" t="s">
        <v>199</v>
      </c>
      <c r="D19" s="20" t="s">
        <v>56</v>
      </c>
      <c r="E19" s="20"/>
      <c r="F19" s="20"/>
      <c r="G19" s="20"/>
      <c r="H19" s="20"/>
    </row>
    <row r="20" spans="1:8" x14ac:dyDescent="0.25">
      <c r="A20" s="2" t="s">
        <v>75</v>
      </c>
      <c r="B20" s="20" t="s">
        <v>201</v>
      </c>
      <c r="C20" s="20" t="s">
        <v>202</v>
      </c>
      <c r="D20" s="20" t="s">
        <v>128</v>
      </c>
      <c r="E20" s="20"/>
      <c r="F20" s="20"/>
      <c r="G20" s="20"/>
      <c r="H20" s="20"/>
    </row>
    <row r="21" spans="1:8" x14ac:dyDescent="0.25">
      <c r="A21" s="2" t="s">
        <v>76</v>
      </c>
      <c r="B21" s="20" t="s">
        <v>204</v>
      </c>
      <c r="C21" s="20"/>
      <c r="D21" s="20"/>
      <c r="E21" s="20"/>
      <c r="F21" s="20"/>
      <c r="G21" s="20"/>
      <c r="H21" s="20"/>
    </row>
    <row r="22" spans="1:8" x14ac:dyDescent="0.25">
      <c r="A22" s="2" t="s">
        <v>77</v>
      </c>
      <c r="B22" s="20" t="s">
        <v>206</v>
      </c>
      <c r="C22" s="20" t="s">
        <v>207</v>
      </c>
      <c r="D22" s="20" t="s">
        <v>128</v>
      </c>
      <c r="E22" s="20" t="s">
        <v>208</v>
      </c>
      <c r="F22" s="20"/>
      <c r="G22" s="20"/>
      <c r="H22" s="20"/>
    </row>
    <row r="23" spans="1:8" x14ac:dyDescent="0.25">
      <c r="A23" s="2" t="s">
        <v>78</v>
      </c>
      <c r="B23" s="20" t="s">
        <v>211</v>
      </c>
      <c r="C23" s="20"/>
      <c r="D23" s="20"/>
      <c r="E23" s="20"/>
      <c r="F23" s="20"/>
      <c r="G23" s="20"/>
      <c r="H23" s="20"/>
    </row>
    <row r="24" spans="1:8" x14ac:dyDescent="0.25">
      <c r="A24" s="2" t="s">
        <v>79</v>
      </c>
      <c r="B24" s="20" t="s">
        <v>215</v>
      </c>
      <c r="C24" s="20" t="s">
        <v>216</v>
      </c>
      <c r="D24" s="20" t="s">
        <v>128</v>
      </c>
      <c r="E24" s="20" t="s">
        <v>217</v>
      </c>
      <c r="F24" s="20"/>
      <c r="G24" s="20"/>
      <c r="H24" s="20"/>
    </row>
    <row r="25" spans="1:8" x14ac:dyDescent="0.25">
      <c r="A25" s="2" t="s">
        <v>80</v>
      </c>
      <c r="B25" s="20" t="s">
        <v>233</v>
      </c>
      <c r="C25" s="20" t="s">
        <v>234</v>
      </c>
      <c r="D25" s="20"/>
      <c r="E25" s="20"/>
      <c r="F25" s="20"/>
      <c r="G25" s="20"/>
      <c r="H25" s="20"/>
    </row>
    <row r="26" spans="1:8" x14ac:dyDescent="0.25">
      <c r="A26" s="2" t="s">
        <v>81</v>
      </c>
      <c r="B26" s="20" t="s">
        <v>236</v>
      </c>
      <c r="C26" s="20" t="s">
        <v>237</v>
      </c>
      <c r="D26" s="20" t="s">
        <v>238</v>
      </c>
      <c r="E26" s="20" t="s">
        <v>236</v>
      </c>
      <c r="F26" s="20" t="s">
        <v>239</v>
      </c>
      <c r="G26" s="20"/>
      <c r="H26" s="20" t="s">
        <v>240</v>
      </c>
    </row>
    <row r="27" spans="1:8" x14ac:dyDescent="0.25">
      <c r="A27" s="2" t="s">
        <v>82</v>
      </c>
      <c r="B27" s="20"/>
      <c r="C27" s="20"/>
      <c r="D27" s="20"/>
      <c r="E27" s="20"/>
      <c r="F27" s="20"/>
      <c r="G27" s="20"/>
      <c r="H27" s="20"/>
    </row>
    <row r="28" spans="1:8" x14ac:dyDescent="0.25">
      <c r="A28" s="2" t="s">
        <v>83</v>
      </c>
      <c r="B28" s="20"/>
      <c r="C28" s="20"/>
      <c r="D28" s="20"/>
      <c r="E28" s="20"/>
      <c r="F28" s="20"/>
      <c r="G28" s="20"/>
      <c r="H28" s="20"/>
    </row>
    <row r="29" spans="1:8" x14ac:dyDescent="0.25">
      <c r="A29" s="2" t="s">
        <v>84</v>
      </c>
      <c r="B29" s="20"/>
      <c r="C29" s="20"/>
      <c r="D29" s="20"/>
      <c r="E29" s="20"/>
      <c r="F29" s="20"/>
      <c r="G29" s="20"/>
      <c r="H29" s="20"/>
    </row>
    <row r="30" spans="1:8" x14ac:dyDescent="0.25">
      <c r="A30" s="2" t="s">
        <v>85</v>
      </c>
      <c r="B30" s="20"/>
      <c r="C30" s="20"/>
      <c r="D30" s="20"/>
      <c r="E30" s="20"/>
      <c r="F30" s="20"/>
      <c r="G30" s="20"/>
      <c r="H30" s="20"/>
    </row>
    <row r="31" spans="1:8" x14ac:dyDescent="0.25">
      <c r="A31" s="2" t="s">
        <v>86</v>
      </c>
      <c r="B31" s="20"/>
      <c r="C31" s="20"/>
      <c r="D31" s="20"/>
      <c r="E31" s="20"/>
      <c r="F31" s="20"/>
      <c r="G31" s="20"/>
      <c r="H31" s="20"/>
    </row>
    <row r="32" spans="1:8" x14ac:dyDescent="0.25">
      <c r="A32" s="2" t="s">
        <v>87</v>
      </c>
      <c r="B32" s="20"/>
      <c r="C32" s="20"/>
      <c r="D32" s="20"/>
      <c r="E32" s="20"/>
      <c r="F32" s="20"/>
      <c r="G32" s="20"/>
      <c r="H32" s="20"/>
    </row>
    <row r="33" spans="1:8" x14ac:dyDescent="0.25">
      <c r="A33" s="2" t="s">
        <v>88</v>
      </c>
      <c r="B33" s="20"/>
      <c r="C33" s="20"/>
      <c r="D33" s="20"/>
      <c r="E33" s="20"/>
      <c r="F33" s="20"/>
      <c r="G33" s="20"/>
      <c r="H33" s="20"/>
    </row>
    <row r="34" spans="1:8" x14ac:dyDescent="0.25">
      <c r="A34" s="2" t="s">
        <v>89</v>
      </c>
      <c r="B34" s="20"/>
      <c r="C34" s="20"/>
      <c r="D34" s="20"/>
      <c r="E34" s="20"/>
      <c r="F34" s="20"/>
      <c r="G34" s="20"/>
      <c r="H34" s="20"/>
    </row>
    <row r="35" spans="1:8" x14ac:dyDescent="0.25">
      <c r="A35" s="2" t="s">
        <v>90</v>
      </c>
      <c r="B35" s="20"/>
      <c r="C35" s="20"/>
      <c r="D35" s="20"/>
      <c r="E35" s="20"/>
      <c r="F35" s="20"/>
      <c r="G35" s="20"/>
      <c r="H35" s="20"/>
    </row>
    <row r="36" spans="1:8" x14ac:dyDescent="0.25">
      <c r="A36" s="2" t="s">
        <v>91</v>
      </c>
      <c r="B36" s="20"/>
      <c r="C36" s="20"/>
      <c r="D36" s="20"/>
      <c r="E36" s="20"/>
      <c r="F36" s="20"/>
      <c r="G36" s="20"/>
      <c r="H36" s="20"/>
    </row>
    <row r="37" spans="1:8" x14ac:dyDescent="0.25">
      <c r="A37" s="2" t="s">
        <v>92</v>
      </c>
      <c r="B37" s="20"/>
      <c r="C37" s="20"/>
      <c r="D37" s="20"/>
      <c r="E37" s="20"/>
      <c r="F37" s="20"/>
      <c r="G37" s="20"/>
      <c r="H37" s="20"/>
    </row>
    <row r="38" spans="1:8" x14ac:dyDescent="0.25">
      <c r="A38" s="2" t="s">
        <v>93</v>
      </c>
      <c r="B38" s="20"/>
      <c r="C38" s="20"/>
      <c r="D38" s="20"/>
      <c r="E38" s="20"/>
      <c r="F38" s="20"/>
      <c r="G38" s="20"/>
      <c r="H38" s="20"/>
    </row>
    <row r="39" spans="1:8" x14ac:dyDescent="0.25">
      <c r="A39" s="2" t="s">
        <v>94</v>
      </c>
      <c r="B39" s="20"/>
      <c r="C39" s="20"/>
      <c r="D39" s="20"/>
      <c r="E39" s="20"/>
      <c r="F39" s="20"/>
      <c r="G39" s="20"/>
      <c r="H39" s="20"/>
    </row>
    <row r="40" spans="1:8" x14ac:dyDescent="0.25">
      <c r="A40" s="2" t="s">
        <v>95</v>
      </c>
      <c r="B40" s="20"/>
      <c r="C40" s="20"/>
      <c r="D40" s="20"/>
      <c r="E40" s="20"/>
      <c r="F40" s="20"/>
      <c r="G40" s="20"/>
      <c r="H40" s="20"/>
    </row>
    <row r="41" spans="1:8" x14ac:dyDescent="0.25">
      <c r="A41" s="2" t="s">
        <v>96</v>
      </c>
      <c r="B41" s="20"/>
      <c r="C41" s="20"/>
      <c r="D41" s="20"/>
      <c r="E41" s="20"/>
      <c r="F41" s="20"/>
      <c r="G41" s="20"/>
      <c r="H41" s="20"/>
    </row>
    <row r="42" spans="1:8" x14ac:dyDescent="0.25">
      <c r="A42" s="2" t="s">
        <v>97</v>
      </c>
      <c r="B42" s="20"/>
      <c r="C42" s="20"/>
      <c r="D42" s="20"/>
      <c r="E42" s="20"/>
      <c r="F42" s="20"/>
      <c r="G42" s="20"/>
      <c r="H42" s="20"/>
    </row>
    <row r="43" spans="1:8" x14ac:dyDescent="0.25">
      <c r="A43" s="2" t="s">
        <v>98</v>
      </c>
      <c r="B43" s="20"/>
      <c r="C43" s="20"/>
      <c r="D43" s="20"/>
      <c r="E43" s="20"/>
      <c r="F43" s="20"/>
      <c r="G43" s="20"/>
      <c r="H43" s="20"/>
    </row>
    <row r="44" spans="1:8" x14ac:dyDescent="0.25">
      <c r="A44" s="2" t="s">
        <v>99</v>
      </c>
      <c r="B44" s="20"/>
      <c r="C44" s="20"/>
      <c r="D44" s="20"/>
      <c r="E44" s="20"/>
      <c r="F44" s="20"/>
      <c r="G44" s="20"/>
      <c r="H44" s="20"/>
    </row>
    <row r="45" spans="1:8" x14ac:dyDescent="0.25">
      <c r="A45" s="2" t="s">
        <v>100</v>
      </c>
      <c r="B45" s="20"/>
      <c r="C45" s="20"/>
      <c r="D45" s="20"/>
      <c r="E45" s="20"/>
      <c r="F45" s="20"/>
      <c r="G45" s="20"/>
      <c r="H45" s="20"/>
    </row>
    <row r="46" spans="1:8" x14ac:dyDescent="0.25">
      <c r="A46" s="2" t="s">
        <v>101</v>
      </c>
      <c r="B46" s="20"/>
      <c r="C46" s="20"/>
      <c r="D46" s="20"/>
      <c r="E46" s="20"/>
      <c r="F46" s="20"/>
      <c r="G46" s="20"/>
      <c r="H46" s="20"/>
    </row>
    <row r="47" spans="1:8" x14ac:dyDescent="0.25">
      <c r="A47" s="2" t="s">
        <v>102</v>
      </c>
      <c r="B47" s="20"/>
      <c r="C47" s="20"/>
      <c r="D47" s="20"/>
      <c r="E47" s="20"/>
      <c r="F47" s="20"/>
      <c r="G47" s="20"/>
      <c r="H47" s="20"/>
    </row>
    <row r="48" spans="1:8" x14ac:dyDescent="0.25">
      <c r="A48" s="2" t="s">
        <v>103</v>
      </c>
      <c r="B48" s="20"/>
      <c r="C48" s="20"/>
      <c r="D48" s="20"/>
      <c r="E48" s="20"/>
      <c r="F48" s="20"/>
      <c r="G48" s="20"/>
      <c r="H48" s="20"/>
    </row>
    <row r="49" spans="1:8" x14ac:dyDescent="0.25">
      <c r="A49" s="2" t="s">
        <v>104</v>
      </c>
      <c r="B49" s="20"/>
      <c r="C49" s="20"/>
      <c r="D49" s="20"/>
      <c r="E49" s="20"/>
      <c r="F49" s="20"/>
      <c r="G49" s="20"/>
      <c r="H49" s="20"/>
    </row>
    <row r="50" spans="1:8" x14ac:dyDescent="0.25">
      <c r="A50" s="2" t="s">
        <v>105</v>
      </c>
      <c r="B50" s="20"/>
      <c r="C50" s="20"/>
      <c r="D50" s="20"/>
      <c r="E50" s="20"/>
      <c r="F50" s="20"/>
      <c r="G50" s="20"/>
      <c r="H50" s="20"/>
    </row>
    <row r="51" spans="1:8" x14ac:dyDescent="0.25">
      <c r="A51" s="2" t="s">
        <v>106</v>
      </c>
      <c r="B51" s="20"/>
      <c r="C51" s="20"/>
      <c r="D51" s="20"/>
      <c r="E51" s="20"/>
      <c r="F51" s="20"/>
      <c r="G51" s="20"/>
      <c r="H51" s="20"/>
    </row>
    <row r="52" spans="1:8" x14ac:dyDescent="0.25">
      <c r="A52" s="2" t="s">
        <v>107</v>
      </c>
      <c r="B52" s="20"/>
      <c r="C52" s="20"/>
      <c r="D52" s="20"/>
      <c r="E52" s="20"/>
      <c r="F52" s="20"/>
      <c r="G52" s="20"/>
      <c r="H52" s="20"/>
    </row>
    <row r="53" spans="1:8" x14ac:dyDescent="0.25">
      <c r="A53" s="2" t="s">
        <v>108</v>
      </c>
      <c r="B53" s="20"/>
      <c r="C53" s="20"/>
      <c r="D53" s="20"/>
      <c r="E53" s="20"/>
      <c r="F53" s="20"/>
      <c r="G53" s="20"/>
      <c r="H53" s="20"/>
    </row>
  </sheetData>
  <mergeCells count="1">
    <mergeCell ref="A1:H1"/>
  </mergeCells>
  <hyperlinks>
    <hyperlink ref="G5" r:id="rId1" xr:uid="{0137A8EA-C1B9-4A87-9144-2BE5F5C36DE8}"/>
    <hyperlink ref="G6" r:id="rId2" xr:uid="{1A3B4A18-A415-49E6-BBA3-DB189FAB6057}"/>
    <hyperlink ref="G7" r:id="rId3" xr:uid="{A245C87B-579B-414F-B49B-D76C3DFC35DA}"/>
    <hyperlink ref="G9" r:id="rId4" xr:uid="{143D18BF-7C4C-4F2A-9EE3-4BE2E6117B20}"/>
    <hyperlink ref="G10" r:id="rId5" xr:uid="{EE96E0C9-42E0-4F35-9DDD-2B90B2863070}"/>
    <hyperlink ref="G11" r:id="rId6" xr:uid="{7BCCF532-2331-46E2-80FC-26A09E07B976}"/>
    <hyperlink ref="G12" r:id="rId7" xr:uid="{B37C6B10-3BB4-4C40-B139-38B4A08D2C64}"/>
    <hyperlink ref="G13" r:id="rId8" xr:uid="{ACB7AB48-F008-4DFB-B674-119C711CDB02}"/>
    <hyperlink ref="G14" r:id="rId9" xr:uid="{3666F0FC-11BD-4EB6-8897-E3D5E064574A}"/>
  </hyperlinks>
  <pageMargins left="0.75" right="0.75" top="1" bottom="1" header="0.511811023622047" footer="0.511811023622047"/>
  <pageSetup paperSize="9"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MAESTRO</vt:lpstr>
      <vt:lpstr>CLASIFICACIONES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Milena Batista</cp:lastModifiedBy>
  <cp:revision>0</cp:revision>
  <cp:lastPrinted>2026-03-14T16:28:57Z</cp:lastPrinted>
  <dcterms:created xsi:type="dcterms:W3CDTF">2026-03-13T20:33:55Z</dcterms:created>
  <dcterms:modified xsi:type="dcterms:W3CDTF">2026-04-01T21:05:20Z</dcterms:modified>
  <dc:language>en-US</dc:language>
</cp:coreProperties>
</file>